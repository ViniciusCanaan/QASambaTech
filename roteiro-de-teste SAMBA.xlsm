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5982C69B-0CD6-4346-A46C-BF520BA0622C}" xr6:coauthVersionLast="45" xr6:coauthVersionMax="45" xr10:uidLastSave="{00000000-0000-0000-0000-000000000000}"/>
  <bookViews>
    <workbookView xWindow="-120" yWindow="-120" windowWidth="20730" windowHeight="11160" tabRatio="684" activeTab="1" xr2:uid="{00000000-000D-0000-FFFF-FFFF00000000}"/>
  </bookViews>
  <sheets>
    <sheet name="Roteiro de Teste" sheetId="7" r:id="rId1"/>
    <sheet name="Dashboard" sheetId="14" r:id="rId2"/>
    <sheet name="D1" sheetId="8" state="hidden" r:id="rId3"/>
    <sheet name="D2" sheetId="9" state="hidden" r:id="rId4"/>
    <sheet name="D3" sheetId="10" state="hidden" r:id="rId5"/>
    <sheet name="D4" sheetId="11" state="hidden" r:id="rId6"/>
    <sheet name="D5" sheetId="12" state="hidden" r:id="rId7"/>
    <sheet name="D6" sheetId="13" state="hidden" r:id="rId8"/>
  </sheets>
  <definedNames>
    <definedName name="_xlnm._FilterDatabase" localSheetId="0" hidden="1">'Roteiro de Teste'!$B$6:$G$29</definedName>
    <definedName name="_xlnm.Print_Area" localSheetId="0">'Roteiro de Teste'!$A$5:$F$27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9" i="13" l="1"/>
  <c r="A28" i="13"/>
  <c r="A27" i="13"/>
  <c r="A26" i="13"/>
  <c r="A25" i="13"/>
  <c r="A23" i="13"/>
  <c r="A22" i="13"/>
  <c r="A21" i="13"/>
  <c r="A20" i="13"/>
  <c r="A24" i="13"/>
  <c r="A21" i="11"/>
  <c r="A22" i="11"/>
  <c r="A23" i="11"/>
  <c r="A24" i="11"/>
  <c r="A20" i="11"/>
  <c r="A21" i="12"/>
  <c r="A22" i="12"/>
  <c r="A23" i="12"/>
  <c r="A24" i="12"/>
  <c r="A25" i="12"/>
  <c r="A26" i="12"/>
  <c r="A27" i="12"/>
  <c r="A28" i="12"/>
  <c r="A29" i="12"/>
  <c r="A30" i="12"/>
  <c r="C26" i="13"/>
  <c r="B26" i="13"/>
  <c r="C24" i="13"/>
  <c r="B28" i="13"/>
  <c r="C21" i="13"/>
  <c r="B24" i="13"/>
  <c r="C29" i="13"/>
  <c r="B29" i="13"/>
  <c r="C23" i="13"/>
  <c r="B27" i="13"/>
  <c r="B20" i="13"/>
  <c r="C22" i="13"/>
  <c r="C27" i="13"/>
  <c r="C25" i="13"/>
  <c r="B25" i="13"/>
  <c r="C28" i="13"/>
  <c r="B23" i="13"/>
  <c r="B22" i="13"/>
  <c r="C20" i="13"/>
  <c r="B24" i="11"/>
  <c r="C23" i="12"/>
  <c r="C23" i="11"/>
  <c r="C26" i="12"/>
  <c r="B23" i="11"/>
  <c r="C30" i="12"/>
  <c r="C22" i="12"/>
  <c r="C27" i="12"/>
  <c r="B21" i="11"/>
  <c r="C21" i="11"/>
  <c r="C20" i="11"/>
  <c r="C24" i="12"/>
  <c r="C28" i="12"/>
  <c r="C22" i="11"/>
  <c r="C21" i="12"/>
  <c r="C25" i="12"/>
  <c r="C29" i="12"/>
  <c r="D20" i="13" l="1"/>
  <c r="D22" i="13"/>
  <c r="D24" i="13"/>
  <c r="D26" i="13"/>
  <c r="D28" i="13"/>
  <c r="D23" i="13"/>
  <c r="D25" i="13"/>
  <c r="D27" i="13"/>
  <c r="D29" i="13"/>
  <c r="A20" i="12"/>
  <c r="A22" i="10"/>
  <c r="A21" i="10"/>
  <c r="A20" i="10"/>
  <c r="A25" i="9"/>
  <c r="A24" i="9"/>
  <c r="A23" i="9"/>
  <c r="A22" i="9"/>
  <c r="A21" i="9"/>
  <c r="A20" i="9"/>
  <c r="B20" i="8"/>
  <c r="B21" i="13"/>
  <c r="B20" i="11"/>
  <c r="B26" i="12"/>
  <c r="B20" i="9"/>
  <c r="B21" i="12"/>
  <c r="B22" i="11"/>
  <c r="C24" i="11"/>
  <c r="B24" i="12"/>
  <c r="B30" i="12"/>
  <c r="B23" i="12"/>
  <c r="B29" i="12"/>
  <c r="B24" i="9"/>
  <c r="B22" i="12"/>
  <c r="B22" i="10"/>
  <c r="B27" i="12"/>
  <c r="B25" i="12"/>
  <c r="B23" i="9"/>
  <c r="B28" i="12"/>
  <c r="B22" i="9"/>
  <c r="B20" i="10"/>
  <c r="B25" i="9"/>
  <c r="B21" i="9"/>
  <c r="B21" i="10"/>
  <c r="C20" i="12"/>
  <c r="D21" i="13" l="1"/>
  <c r="B21" i="8"/>
  <c r="B20" i="12"/>
  <c r="C20" i="9"/>
  <c r="C20" i="10"/>
  <c r="C23" i="9"/>
  <c r="C24" i="9"/>
  <c r="C21" i="9"/>
  <c r="C25" i="9"/>
  <c r="C22" i="9"/>
  <c r="C22" i="10"/>
  <c r="C21" i="10"/>
</calcChain>
</file>

<file path=xl/sharedStrings.xml><?xml version="1.0" encoding="utf-8"?>
<sst xmlns="http://schemas.openxmlformats.org/spreadsheetml/2006/main" count="239" uniqueCount="113">
  <si>
    <t>FUNCIONALIDADE</t>
  </si>
  <si>
    <t>INCLUSÃO DE PRODUTO</t>
  </si>
  <si>
    <t>ALTERAÇÃO DE PRODUTO</t>
  </si>
  <si>
    <t>EXCLUSÃO DE PRODUTO</t>
  </si>
  <si>
    <t>TECNOLOGIA</t>
  </si>
  <si>
    <t>INFRAESTRUTURA</t>
  </si>
  <si>
    <t>CLIENTE</t>
  </si>
  <si>
    <t>ÁREA DE NEGÓCIOS</t>
  </si>
  <si>
    <t>RESPONSÁVEL PELO TESTE</t>
  </si>
  <si>
    <t>CRITICIDADE</t>
  </si>
  <si>
    <t>STATUS DOS TESTES</t>
  </si>
  <si>
    <t>STATUS</t>
  </si>
  <si>
    <t>APROVADO</t>
  </si>
  <si>
    <t>EM EXECUÇÃO</t>
  </si>
  <si>
    <t>COM PROBLEMAS</t>
  </si>
  <si>
    <t>EM CORREÇÃO</t>
  </si>
  <si>
    <t>RETESTAR</t>
  </si>
  <si>
    <t>NÃO INICIADO</t>
  </si>
  <si>
    <t>Rótulos de Linha</t>
  </si>
  <si>
    <t>(vazio)</t>
  </si>
  <si>
    <t>Rótulos de Coluna</t>
  </si>
  <si>
    <t>Total Geral</t>
  </si>
  <si>
    <t>1. MUITO BAIXA</t>
  </si>
  <si>
    <t>2. BAIXA</t>
  </si>
  <si>
    <t>3. MÉDIA</t>
  </si>
  <si>
    <t>4. ALTA</t>
  </si>
  <si>
    <t>5. MUITO ALTA</t>
  </si>
  <si>
    <t>6. EXTREMA</t>
  </si>
  <si>
    <t>Contagem de STATUS DOS TESTES</t>
  </si>
  <si>
    <t>Contagem de CRITICIDADE</t>
  </si>
  <si>
    <t>DEMAIS</t>
  </si>
  <si>
    <t>TESTES</t>
  </si>
  <si>
    <t>TOTAL</t>
  </si>
  <si>
    <t>O QUE ESPERA QUE ACONTEÇA?</t>
  </si>
  <si>
    <t>O QUE PRECISO PARA TESTAR ESTE CENÁRIO?</t>
  </si>
  <si>
    <t>% CONCLUSÃO</t>
  </si>
  <si>
    <t>ROTEIRO DE TESTES</t>
  </si>
  <si>
    <t>Logar no Sistema</t>
  </si>
  <si>
    <t>Logar no sistema com Facebook</t>
  </si>
  <si>
    <t>Criar uma conta</t>
  </si>
  <si>
    <t>Ver Conteúdos</t>
  </si>
  <si>
    <t>Buscar por um título</t>
  </si>
  <si>
    <t>Gerar boleto para pagamento</t>
  </si>
  <si>
    <t>Pagamento com Cartão de Crédito</t>
  </si>
  <si>
    <t>Teste Gratis</t>
  </si>
  <si>
    <t>Botão Assinar Agora</t>
  </si>
  <si>
    <t>Verificar meu dados</t>
  </si>
  <si>
    <t>Incluir foto de cadastro</t>
  </si>
  <si>
    <t>Alterar Senha</t>
  </si>
  <si>
    <t>Meus Favoritos</t>
  </si>
  <si>
    <t>Sair</t>
  </si>
  <si>
    <t xml:space="preserve">Abrir redes sociais </t>
  </si>
  <si>
    <t>Esqueceu sua senha</t>
  </si>
  <si>
    <t>Continuar Assistindo</t>
  </si>
  <si>
    <t>Termos de Uso</t>
  </si>
  <si>
    <t>Sobre</t>
  </si>
  <si>
    <t>Favoritar Vídeo</t>
  </si>
  <si>
    <t>Favoritar Coleções</t>
  </si>
  <si>
    <t>VINÍCIUS</t>
  </si>
  <si>
    <t>Entrar com e-mail e senha válidos</t>
  </si>
  <si>
    <t>Abrir tela principal do sistema</t>
  </si>
  <si>
    <t>Ter uma conta do facebook para associar</t>
  </si>
  <si>
    <t>Logar no sistema com minha conta do Facebook</t>
  </si>
  <si>
    <t>Preencher meu nome, E-mail e Senha</t>
  </si>
  <si>
    <t>Conta do usuário seja criada</t>
  </si>
  <si>
    <t>Apareça todas as séries e filmes</t>
  </si>
  <si>
    <t>Clicar na lupa</t>
  </si>
  <si>
    <t>Abra opção de pesquisar por um filme</t>
  </si>
  <si>
    <t>Preencher meu CPF</t>
  </si>
  <si>
    <t>Boleto gerado para pagamento</t>
  </si>
  <si>
    <t>Preencher meus dados e cartão de crédito</t>
  </si>
  <si>
    <t>Pagamento efetuado com sucesso</t>
  </si>
  <si>
    <t>Clicar em teste grátis e selecionar forma de pagamento</t>
  </si>
  <si>
    <t>Teste grátis de um mês liberado</t>
  </si>
  <si>
    <t>Clicar em Assinar e escolher forma de pagamento</t>
  </si>
  <si>
    <t>Abra a tela para pagamento</t>
  </si>
  <si>
    <t>Acessar minha conta e clicar em meus dados</t>
  </si>
  <si>
    <t>Abra a tela de dados do usuário</t>
  </si>
  <si>
    <t>Uma imagem qualquer</t>
  </si>
  <si>
    <t>Foto do usuário seja incluída</t>
  </si>
  <si>
    <t>Senha do usuário seja alterada</t>
  </si>
  <si>
    <t>Logar no sistema e clicar em Alterar Senha</t>
  </si>
  <si>
    <t>Logar no sistema, verificar informações da minha conta e clicar em favoritos</t>
  </si>
  <si>
    <t>Usuário consiga verificar seus filmes marcados como favorito</t>
  </si>
  <si>
    <t>Estar logado em minha conta e clicar em ver conteúdos</t>
  </si>
  <si>
    <t>Estar logado e selecionar o botão para sair</t>
  </si>
  <si>
    <t xml:space="preserve">Saia do usuário </t>
  </si>
  <si>
    <t>Clicar nas redes sociais na página principal</t>
  </si>
  <si>
    <t>Abra o site das redes sociais</t>
  </si>
  <si>
    <t>Clicar no botão entrar e clicar em "Esqueceu a senha?"</t>
  </si>
  <si>
    <t>Seja solicitado o e-mail do usuário e recuperação enviada pelo e-mail</t>
  </si>
  <si>
    <t>Começar a assistir um filme e parar na metade</t>
  </si>
  <si>
    <t>Filme volte onde eu parei</t>
  </si>
  <si>
    <t>Abra os termos de uso do software</t>
  </si>
  <si>
    <t>Clicar em "Termos de Uso" na tela principal</t>
  </si>
  <si>
    <t>Clicar em "Sobre" na tela principal</t>
  </si>
  <si>
    <t>Abra informações sobre o software</t>
  </si>
  <si>
    <t>Entrar em algum vídeo e clicar no "coração" para favoritar</t>
  </si>
  <si>
    <t>Meu vídeo seja favoritado e vá para a tela de favoritos</t>
  </si>
  <si>
    <t>Entrar em alguma coleção e clicar no "coração" para favoritar</t>
  </si>
  <si>
    <t>Minha coleção seja favoritada e vá para a tela de favoritos</t>
  </si>
  <si>
    <t>REPROVADO</t>
  </si>
  <si>
    <t>Muito Baixa</t>
  </si>
  <si>
    <t>Baixa</t>
  </si>
  <si>
    <t>Média</t>
  </si>
  <si>
    <t>Alta</t>
  </si>
  <si>
    <t>Muito Alta</t>
  </si>
  <si>
    <t>Extrema</t>
  </si>
  <si>
    <t>Criticidade</t>
  </si>
  <si>
    <t>Quantidade</t>
  </si>
  <si>
    <t>Aprovado</t>
  </si>
  <si>
    <t>Reprovado</t>
  </si>
  <si>
    <t>Status do 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</si>
</sst>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b/>
      <sz val="15"/>
      <color theme="1" tint="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3" fillId="0" borderId="1" xfId="0" applyFont="1" applyFill="1" applyBorder="1" applyAlignment="1">
      <alignment vertical="center" wrapText="1"/>
    </xf>
    <xf numFmtId="0" fontId="0" fillId="0" borderId="0" xfId="0" applyAlignment="1">
      <alignment horizontal="left" indent="1"/>
    </xf>
    <xf numFmtId="0" fontId="4" fillId="4" borderId="3" xfId="0" applyFont="1" applyFill="1" applyBorder="1" applyAlignment="1" applyProtection="1">
      <alignment horizontal="left" vertical="center" indent="1"/>
    </xf>
    <xf numFmtId="0" fontId="4" fillId="4" borderId="3" xfId="0" applyFont="1" applyFill="1" applyBorder="1" applyAlignment="1" applyProtection="1">
      <alignment horizontal="center" vertical="center" wrapText="1"/>
    </xf>
    <xf numFmtId="0" fontId="5" fillId="0" borderId="3" xfId="0" applyFont="1" applyFill="1" applyBorder="1" applyAlignment="1" applyProtection="1">
      <alignment horizontal="left" vertical="center" indent="1"/>
    </xf>
    <xf numFmtId="0" fontId="6" fillId="0" borderId="3" xfId="0" applyFont="1" applyFill="1" applyBorder="1" applyAlignment="1" applyProtection="1">
      <alignment horizontal="left" vertical="center" indent="2"/>
    </xf>
    <xf numFmtId="0" fontId="2" fillId="0" borderId="3" xfId="0" applyFont="1" applyFill="1" applyBorder="1" applyAlignment="1" applyProtection="1">
      <alignment horizontal="left" vertical="center" indent="1"/>
    </xf>
    <xf numFmtId="0" fontId="6" fillId="0" borderId="3" xfId="0" applyFont="1" applyFill="1" applyBorder="1" applyAlignment="1" applyProtection="1">
      <alignment horizontal="left" vertical="center" indent="1"/>
    </xf>
    <xf numFmtId="0" fontId="7" fillId="0" borderId="3" xfId="0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0" fontId="0" fillId="0" borderId="4" xfId="0" applyBorder="1"/>
    <xf numFmtId="0" fontId="1" fillId="3" borderId="4" xfId="0" applyFont="1" applyFill="1" applyBorder="1"/>
    <xf numFmtId="0" fontId="0" fillId="0" borderId="4" xfId="0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Fill="1" applyBorder="1" applyAlignment="1">
      <alignment horizontal="center"/>
    </xf>
    <xf numFmtId="0" fontId="0" fillId="0" borderId="4" xfId="0" applyBorder="1" applyAlignment="1">
      <alignment horizontal="center"/>
    </xf>
    <xf numFmtId="9" fontId="0" fillId="0" borderId="4" xfId="1" applyFont="1" applyBorder="1" applyAlignment="1">
      <alignment horizontal="center"/>
    </xf>
    <xf numFmtId="0" fontId="6" fillId="0" borderId="3" xfId="0" applyFont="1" applyFill="1" applyBorder="1" applyAlignment="1" applyProtection="1">
      <alignment horizontal="left" vertical="center" wrapText="1" indent="2"/>
    </xf>
    <xf numFmtId="0" fontId="0" fillId="0" borderId="0" xfId="0" applyAlignment="1">
      <alignment horizont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Porcentagem" xfId="1" builtinId="5"/>
  </cellStyles>
  <dxfs count="7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Porcentagem</a:t>
            </a:r>
            <a:r>
              <a:rPr lang="pt-BR" baseline="0"/>
              <a:t> por Criticidade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Dashboard!$B$1</c:f>
              <c:strCache>
                <c:ptCount val="1"/>
                <c:pt idx="0">
                  <c:v>Quantidade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D92-475F-B100-69E4EC03C7C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D92-475F-B100-69E4EC03C7C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D92-475F-B100-69E4EC03C7C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D92-475F-B100-69E4EC03C7C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D92-475F-B100-69E4EC03C7C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D92-475F-B100-69E4EC03C7C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Dashboard!$A$2:$A$7</c:f>
              <c:strCache>
                <c:ptCount val="6"/>
                <c:pt idx="0">
                  <c:v>Muito Baixa</c:v>
                </c:pt>
                <c:pt idx="1">
                  <c:v>Baixa</c:v>
                </c:pt>
                <c:pt idx="2">
                  <c:v>Média</c:v>
                </c:pt>
                <c:pt idx="3">
                  <c:v>Alta</c:v>
                </c:pt>
                <c:pt idx="4">
                  <c:v>Muito Alta</c:v>
                </c:pt>
                <c:pt idx="5">
                  <c:v>Extrema</c:v>
                </c:pt>
              </c:strCache>
            </c:strRef>
          </c:cat>
          <c:val>
            <c:numRef>
              <c:f>Dashboard!$B$2:$B$7</c:f>
              <c:numCache>
                <c:formatCode>General</c:formatCode>
                <c:ptCount val="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  <c:pt idx="4">
                  <c:v>2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29-4CA4-B111-26CA9C13057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Porcentagem por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7F1-4D46-A2F7-20C7A52C60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7F1-4D46-A2F7-20C7A52C60D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Dashboard!$H$2:$H$3</c:f>
              <c:strCache>
                <c:ptCount val="2"/>
                <c:pt idx="0">
                  <c:v>Aprovado</c:v>
                </c:pt>
                <c:pt idx="1">
                  <c:v>Reprovado</c:v>
                </c:pt>
              </c:strCache>
            </c:strRef>
          </c:cat>
          <c:val>
            <c:numRef>
              <c:f>Dashboard!$I$2:$I$3</c:f>
              <c:numCache>
                <c:formatCode>General</c:formatCode>
                <c:ptCount val="2"/>
                <c:pt idx="0">
                  <c:v>17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B-40AD-84F4-FBE482F2B26E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47625</xdr:rowOff>
    </xdr:from>
    <xdr:to>
      <xdr:col>1</xdr:col>
      <xdr:colOff>1647825</xdr:colOff>
      <xdr:row>3</xdr:row>
      <xdr:rowOff>100862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14EBF6E-BD0A-4330-B77C-84766083A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47625"/>
          <a:ext cx="1819275" cy="6628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52387</xdr:rowOff>
    </xdr:from>
    <xdr:to>
      <xdr:col>4</xdr:col>
      <xdr:colOff>533400</xdr:colOff>
      <xdr:row>21</xdr:row>
      <xdr:rowOff>128587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ABCE74F-21C1-4DA2-9053-8833C7C29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166687</xdr:colOff>
      <xdr:row>7</xdr:row>
      <xdr:rowOff>33337</xdr:rowOff>
    </xdr:from>
    <xdr:to>
      <xdr:col>11</xdr:col>
      <xdr:colOff>290512</xdr:colOff>
      <xdr:row>21</xdr:row>
      <xdr:rowOff>109537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25DFF2A-703A-40E8-A798-83CEA7930A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3868.943914699077" createdVersion="5" refreshedVersion="6" minRefreshableVersion="3" recordCount="1000" xr:uid="{00000000-000A-0000-FFFF-FFFF00000000}">
  <cacheSource type="worksheet">
    <worksheetSource ref="B6:G29" sheet="Roteiro de Teste"/>
  </cacheSource>
  <cacheFields count="9">
    <cacheField name="FUNCIONALIDADE" numFmtId="0">
      <sharedItems containsBlank="1" count="4">
        <s v="ALTERAÇÃO DE PRODUTO"/>
        <s v="INCLUSÃO DE PRODUTO"/>
        <s v="EXCLUSÃO DE PRODUTO"/>
        <m/>
      </sharedItems>
    </cacheField>
    <cacheField name="O QUE PRECISO PARA TESTAR ESTE CENÁRIO?" numFmtId="0">
      <sharedItems containsNonDate="0" containsString="0" containsBlank="1"/>
    </cacheField>
    <cacheField name="O QUE ESPERA QUE ACONTEÇA?" numFmtId="0">
      <sharedItems containsBlank="1"/>
    </cacheField>
    <cacheField name="CRITICIDADE" numFmtId="0">
      <sharedItems containsBlank="1" count="12">
        <s v="5. MUITO ALTA"/>
        <s v="6. EXTREMA"/>
        <s v="3. MÉDIA"/>
        <s v="2. BAIXA"/>
        <s v="4. ALTA"/>
        <s v="1. MUITO BAIXA"/>
        <m/>
        <s v="MÉDIA" u="1"/>
        <s v="MUITO ALTA" u="1"/>
        <s v="ALTA" u="1"/>
        <s v="BAIXA" u="1"/>
        <s v="EXTREMA" u="1"/>
      </sharedItems>
    </cacheField>
    <cacheField name="RESPONSÁVEL PELO TESTE" numFmtId="0">
      <sharedItems containsBlank="1"/>
    </cacheField>
    <cacheField name="RESPONSÁVEL" numFmtId="0">
      <sharedItems containsBlank="1" count="6">
        <s v="TECNOLOGIA"/>
        <s v="INFRAESTRUTURA"/>
        <s v="CLIENTE"/>
        <s v="ÁREA DE NEGÓCIOS"/>
        <s v=""/>
        <m u="1"/>
      </sharedItems>
    </cacheField>
    <cacheField name="STATUS DOS TESTES" numFmtId="0">
      <sharedItems containsBlank="1" count="7">
        <s v="APROVADO"/>
        <s v="RETESTAR"/>
        <s v="COM PROBLEMAS"/>
        <s v="EM CORREÇÃO"/>
        <s v="EM EXECUÇÃO"/>
        <s v="NÃO INICIADO"/>
        <m/>
      </sharedItems>
    </cacheField>
    <cacheField name="% TESTES MÍNIMOS" numFmtId="0" formula="#NAME?/#NAME?" databaseField="0"/>
    <cacheField name="% DE OCORRÊNCIAS PROCEDENTES" numFmtId="0" formula="#NAME?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m/>
    <s v="Realizar a alteração de um produto cadastrado"/>
    <x v="0"/>
    <s v="JOÃOZINHO"/>
    <x v="0"/>
    <x v="0"/>
  </r>
  <r>
    <x v="1"/>
    <m/>
    <s v="Incluir um novo produto"/>
    <x v="1"/>
    <s v="FULANINHO"/>
    <x v="1"/>
    <x v="0"/>
  </r>
  <r>
    <x v="2"/>
    <m/>
    <s v="Testar a exclusão simultânea de 1000 Produtos"/>
    <x v="2"/>
    <s v="MANÉZINHO"/>
    <x v="2"/>
    <x v="1"/>
  </r>
  <r>
    <x v="0"/>
    <m/>
    <s v="Testar a inclusão simultânea de 1000 Produtos"/>
    <x v="3"/>
    <s v="MARIAZINHA"/>
    <x v="3"/>
    <x v="1"/>
  </r>
  <r>
    <x v="1"/>
    <m/>
    <s v="Testar a exclusão simultânea de 1000 Produtos"/>
    <x v="4"/>
    <s v="JOÃOZINHO"/>
    <x v="0"/>
    <x v="0"/>
  </r>
  <r>
    <x v="2"/>
    <m/>
    <s v="Realizar a alteração de um produto cadastrado"/>
    <x v="5"/>
    <s v="FULANINHO"/>
    <x v="1"/>
    <x v="0"/>
  </r>
  <r>
    <x v="0"/>
    <m/>
    <s v="Realizar a alteração de um produto cadastrado"/>
    <x v="1"/>
    <s v="MANÉZINHO"/>
    <x v="2"/>
    <x v="1"/>
  </r>
  <r>
    <x v="1"/>
    <m/>
    <s v="Realizar a alteração de um produto cadastrado"/>
    <x v="2"/>
    <s v="MARIAZINHA"/>
    <x v="3"/>
    <x v="1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5"/>
    <s v="MANÉZINHO"/>
    <x v="2"/>
    <x v="0"/>
  </r>
  <r>
    <x v="0"/>
    <m/>
    <s v="Realizar a alteração de um produto cadastrado"/>
    <x v="1"/>
    <s v="MARIAZINHA"/>
    <x v="3"/>
    <x v="1"/>
  </r>
  <r>
    <x v="1"/>
    <m/>
    <s v="Realizar a alteração de um produto cadastrado"/>
    <x v="2"/>
    <s v="JOÃOZINHO"/>
    <x v="0"/>
    <x v="0"/>
  </r>
  <r>
    <x v="2"/>
    <m/>
    <s v="Realizar a alteração de um produto cadastrado"/>
    <x v="3"/>
    <s v="FULANINHO"/>
    <x v="1"/>
    <x v="0"/>
  </r>
  <r>
    <x v="0"/>
    <m/>
    <s v="Realizar a alteração de um produto cadastrado"/>
    <x v="4"/>
    <s v="MANÉZINHO"/>
    <x v="2"/>
    <x v="0"/>
  </r>
  <r>
    <x v="1"/>
    <m/>
    <s v="Realizar a alteração de um produto cadastrado"/>
    <x v="5"/>
    <s v="MARIAZINHA"/>
    <x v="3"/>
    <x v="0"/>
  </r>
  <r>
    <x v="2"/>
    <m/>
    <s v="Realizar a alteração de um produto cadastrado"/>
    <x v="1"/>
    <s v="JOÃOZINHO"/>
    <x v="0"/>
    <x v="0"/>
  </r>
  <r>
    <x v="0"/>
    <m/>
    <s v="Realizar a alteração de um produto cadastrado"/>
    <x v="2"/>
    <s v="FULANINHO"/>
    <x v="1"/>
    <x v="0"/>
  </r>
  <r>
    <x v="1"/>
    <m/>
    <s v="Realizar a alteração de um produto cadastrado"/>
    <x v="3"/>
    <s v="MANÉZINHO"/>
    <x v="2"/>
    <x v="0"/>
  </r>
  <r>
    <x v="2"/>
    <m/>
    <s v="Realizar a alteração de um produto cadastrado"/>
    <x v="4"/>
    <s v="MARIAZINHA"/>
    <x v="3"/>
    <x v="0"/>
  </r>
  <r>
    <x v="0"/>
    <m/>
    <s v="Realizar a alteração de um produto cadastrado"/>
    <x v="5"/>
    <s v="JOÃOZINHO"/>
    <x v="0"/>
    <x v="0"/>
  </r>
  <r>
    <x v="1"/>
    <m/>
    <s v="Realizar a alteração de um produto cadastrado"/>
    <x v="1"/>
    <s v="FULANINHO"/>
    <x v="1"/>
    <x v="0"/>
  </r>
  <r>
    <x v="2"/>
    <m/>
    <s v="Realizar a alteração de um produto cadastrado"/>
    <x v="2"/>
    <s v="MANÉZINHO"/>
    <x v="2"/>
    <x v="2"/>
  </r>
  <r>
    <x v="0"/>
    <m/>
    <s v="Realizar a alteração de um produto cadastrado"/>
    <x v="3"/>
    <s v="MARIAZINHA"/>
    <x v="3"/>
    <x v="2"/>
  </r>
  <r>
    <x v="1"/>
    <m/>
    <s v="Realizar a alteração de um produto cadastrado"/>
    <x v="4"/>
    <s v="JOÃOZINHO"/>
    <x v="0"/>
    <x v="0"/>
  </r>
  <r>
    <x v="2"/>
    <m/>
    <s v="Realizar a alteração de um produto cadastrado"/>
    <x v="5"/>
    <s v="FULANINHO"/>
    <x v="1"/>
    <x v="0"/>
  </r>
  <r>
    <x v="0"/>
    <m/>
    <s v="Realizar a alteração de um produto cadastrado"/>
    <x v="1"/>
    <s v="MANÉZINHO"/>
    <x v="2"/>
    <x v="2"/>
  </r>
  <r>
    <x v="1"/>
    <m/>
    <s v="Realizar a alteração de um produto cadastrado"/>
    <x v="2"/>
    <s v="MARIAZINHA"/>
    <x v="3"/>
    <x v="2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5"/>
    <s v="MANÉZINHO"/>
    <x v="2"/>
    <x v="0"/>
  </r>
  <r>
    <x v="2"/>
    <m/>
    <s v="Realizar a alteração de um produto cadastrado"/>
    <x v="1"/>
    <s v="MARIAZINHA"/>
    <x v="3"/>
    <x v="0"/>
  </r>
  <r>
    <x v="0"/>
    <m/>
    <s v="Realizar a alteração de um produto cadastrado"/>
    <x v="2"/>
    <s v="JOÃOZINHO"/>
    <x v="0"/>
    <x v="0"/>
  </r>
  <r>
    <x v="1"/>
    <m/>
    <s v="Realizar a alteração de um produto cadastrado"/>
    <x v="3"/>
    <s v="FULANINHO"/>
    <x v="1"/>
    <x v="0"/>
  </r>
  <r>
    <x v="2"/>
    <m/>
    <s v="Realizar a alteração de um produto cadastrado"/>
    <x v="4"/>
    <s v="MANÉZINHO"/>
    <x v="2"/>
    <x v="0"/>
  </r>
  <r>
    <x v="0"/>
    <m/>
    <s v="Realizar a alteração de um produto cadastrado"/>
    <x v="5"/>
    <s v="MARIAZINHA"/>
    <x v="3"/>
    <x v="0"/>
  </r>
  <r>
    <x v="1"/>
    <m/>
    <s v="Realizar a alteração de um produto cadastrado"/>
    <x v="1"/>
    <s v="JOÃOZINHO"/>
    <x v="0"/>
    <x v="0"/>
  </r>
  <r>
    <x v="2"/>
    <m/>
    <s v="Realizar a alteração de um produto cadastrado"/>
    <x v="2"/>
    <s v="FULANINHO"/>
    <x v="1"/>
    <x v="0"/>
  </r>
  <r>
    <x v="0"/>
    <m/>
    <s v="Realizar a alteração de um produto cadastrado"/>
    <x v="3"/>
    <s v="MANÉZINHO"/>
    <x v="2"/>
    <x v="2"/>
  </r>
  <r>
    <x v="1"/>
    <m/>
    <s v="Realizar a alteração de um produto cadastrado"/>
    <x v="4"/>
    <s v="MARIAZINHA"/>
    <x v="3"/>
    <x v="0"/>
  </r>
  <r>
    <x v="2"/>
    <m/>
    <s v="Realizar a alteração de um produto cadastrado"/>
    <x v="5"/>
    <s v="JOÃOZINHO"/>
    <x v="0"/>
    <x v="0"/>
  </r>
  <r>
    <x v="0"/>
    <m/>
    <s v="Realizar a alteração de um produto cadastrado"/>
    <x v="1"/>
    <s v="FULANINHO"/>
    <x v="1"/>
    <x v="0"/>
  </r>
  <r>
    <x v="1"/>
    <m/>
    <s v="Realizar a alteração de um produto cadastrado"/>
    <x v="2"/>
    <s v="MANÉZINHO"/>
    <x v="2"/>
    <x v="0"/>
  </r>
  <r>
    <x v="2"/>
    <m/>
    <s v="Realizar a alteração de um produto cadastrado"/>
    <x v="3"/>
    <s v="MARIAZINHA"/>
    <x v="3"/>
    <x v="0"/>
  </r>
  <r>
    <x v="0"/>
    <m/>
    <s v="Realizar a alteração de um produto cadastrado"/>
    <x v="4"/>
    <s v="JOÃOZINHO"/>
    <x v="0"/>
    <x v="0"/>
  </r>
  <r>
    <x v="1"/>
    <m/>
    <s v="Realizar a alteração de um produto cadastrado"/>
    <x v="5"/>
    <s v="FULANINHO"/>
    <x v="1"/>
    <x v="0"/>
  </r>
  <r>
    <x v="2"/>
    <m/>
    <s v="Realizar a alteração de um produto cadastrado"/>
    <x v="1"/>
    <s v="MANÉZINHO"/>
    <x v="2"/>
    <x v="0"/>
  </r>
  <r>
    <x v="0"/>
    <m/>
    <s v="Realizar a alteração de um produto cadastrado"/>
    <x v="2"/>
    <s v="MARIAZINHA"/>
    <x v="3"/>
    <x v="0"/>
  </r>
  <r>
    <x v="1"/>
    <m/>
    <s v="Realizar a alteração de um produto cadastrado"/>
    <x v="3"/>
    <s v="JOÃOZINHO"/>
    <x v="0"/>
    <x v="0"/>
  </r>
  <r>
    <x v="2"/>
    <m/>
    <s v="Realizar a alteração de um produto cadastrado"/>
    <x v="4"/>
    <s v="FULANINHO"/>
    <x v="1"/>
    <x v="0"/>
  </r>
  <r>
    <x v="0"/>
    <m/>
    <s v="Realizar a alteração de um produto cadastrado"/>
    <x v="0"/>
    <s v="MANÉZINHO"/>
    <x v="2"/>
    <x v="0"/>
  </r>
  <r>
    <x v="1"/>
    <m/>
    <s v="Realizar a alteração de um produto cadastrado"/>
    <x v="1"/>
    <s v="MARIAZINHA"/>
    <x v="3"/>
    <x v="0"/>
  </r>
  <r>
    <x v="2"/>
    <m/>
    <s v="Realizar a alteração de um produto cadastrado"/>
    <x v="2"/>
    <s v="JOÃOZINHO"/>
    <x v="0"/>
    <x v="0"/>
  </r>
  <r>
    <x v="0"/>
    <m/>
    <s v="Realizar a alteração de um produto cadastrado"/>
    <x v="3"/>
    <s v="FULANINHO"/>
    <x v="1"/>
    <x v="0"/>
  </r>
  <r>
    <x v="1"/>
    <m/>
    <s v="Realizar a alteração de um produto cadastrado"/>
    <x v="4"/>
    <s v="MANÉZINHO"/>
    <x v="2"/>
    <x v="0"/>
  </r>
  <r>
    <x v="2"/>
    <m/>
    <s v="Realizar a alteração de um produto cadastrado"/>
    <x v="0"/>
    <s v="MARIAZINHA"/>
    <x v="3"/>
    <x v="0"/>
  </r>
  <r>
    <x v="0"/>
    <m/>
    <s v="Realizar a alteração de um produto cadastrado"/>
    <x v="1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0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0"/>
  </r>
  <r>
    <x v="1"/>
    <m/>
    <s v="Realizar a alteração de um produto cadastrado"/>
    <x v="3"/>
    <s v="MARIAZINHA"/>
    <x v="3"/>
    <x v="0"/>
  </r>
  <r>
    <x v="2"/>
    <m/>
    <s v="Realizar a alteração de um produto cadastrado"/>
    <x v="4"/>
    <s v="JOÃOZINHO"/>
    <x v="0"/>
    <x v="0"/>
  </r>
  <r>
    <x v="0"/>
    <m/>
    <s v="Realizar a alteração de um produto cadastrado"/>
    <x v="0"/>
    <s v="FULANINHO"/>
    <x v="1"/>
    <x v="0"/>
  </r>
  <r>
    <x v="1"/>
    <m/>
    <s v="Realizar a alteração de um produto cadastrado"/>
    <x v="1"/>
    <s v="MANÉZINHO"/>
    <x v="2"/>
    <x v="0"/>
  </r>
  <r>
    <x v="2"/>
    <m/>
    <s v="Realizar a alteração de um produto cadastrado"/>
    <x v="2"/>
    <s v="MARIAZINHA"/>
    <x v="3"/>
    <x v="0"/>
  </r>
  <r>
    <x v="0"/>
    <m/>
    <s v="Realizar a alteração de um produto cadastrado"/>
    <x v="3"/>
    <s v="JOÃOZINHO"/>
    <x v="0"/>
    <x v="0"/>
  </r>
  <r>
    <x v="1"/>
    <m/>
    <s v="Realizar a alteração de um produto cadastrado"/>
    <x v="4"/>
    <s v="FULANINHO"/>
    <x v="1"/>
    <x v="0"/>
  </r>
  <r>
    <x v="2"/>
    <m/>
    <s v="Realizar a alteração de um produto cadastrado"/>
    <x v="0"/>
    <s v="MANÉZINHO"/>
    <x v="2"/>
    <x v="0"/>
  </r>
  <r>
    <x v="0"/>
    <m/>
    <s v="Realizar a alteração de um produto cadastrado"/>
    <x v="1"/>
    <s v="MARIAZINHA"/>
    <x v="3"/>
    <x v="0"/>
  </r>
  <r>
    <x v="1"/>
    <m/>
    <s v="Realizar a alteração de um produto cadastrado"/>
    <x v="2"/>
    <s v="JOÃOZINHO"/>
    <x v="0"/>
    <x v="0"/>
  </r>
  <r>
    <x v="2"/>
    <m/>
    <s v="Realizar a alteração de um produto cadastrado"/>
    <x v="3"/>
    <s v="FULANINHO"/>
    <x v="1"/>
    <x v="0"/>
  </r>
  <r>
    <x v="0"/>
    <m/>
    <s v="Realizar a alteração de um produto cadastrado"/>
    <x v="4"/>
    <s v="MANÉZINHO"/>
    <x v="2"/>
    <x v="0"/>
  </r>
  <r>
    <x v="1"/>
    <m/>
    <s v="Realizar a alteração de um produto cadastrado"/>
    <x v="0"/>
    <s v="MARIAZINHA"/>
    <x v="3"/>
    <x v="0"/>
  </r>
  <r>
    <x v="2"/>
    <m/>
    <s v="Realizar a alteração de um produto cadastrado"/>
    <x v="1"/>
    <s v="JOÃOZINHO"/>
    <x v="0"/>
    <x v="0"/>
  </r>
  <r>
    <x v="0"/>
    <m/>
    <s v="Realizar a alteração de um produto cadastrado"/>
    <x v="2"/>
    <s v="FULANINHO"/>
    <x v="1"/>
    <x v="0"/>
  </r>
  <r>
    <x v="1"/>
    <m/>
    <s v="Realizar a alteração de um produto cadastrado"/>
    <x v="3"/>
    <s v="MANÉZINHO"/>
    <x v="2"/>
    <x v="0"/>
  </r>
  <r>
    <x v="2"/>
    <m/>
    <s v="Realizar a alteração de um produto cadastrado"/>
    <x v="4"/>
    <s v="MARIAZINHA"/>
    <x v="3"/>
    <x v="0"/>
  </r>
  <r>
    <x v="0"/>
    <m/>
    <s v="Realizar a alteração de um produto cadastrado"/>
    <x v="0"/>
    <s v="JOÃOZINHO"/>
    <x v="0"/>
    <x v="0"/>
  </r>
  <r>
    <x v="1"/>
    <m/>
    <s v="Realizar a alteração de um produto cadastrado"/>
    <x v="1"/>
    <s v="FULANINHO"/>
    <x v="1"/>
    <x v="0"/>
  </r>
  <r>
    <x v="2"/>
    <m/>
    <s v="Realizar a alteração de um produto cadastrado"/>
    <x v="2"/>
    <s v="MANÉZINHO"/>
    <x v="2"/>
    <x v="0"/>
  </r>
  <r>
    <x v="0"/>
    <m/>
    <s v="Realizar a alteração de um produto cadastrado"/>
    <x v="3"/>
    <s v="MARIAZINHA"/>
    <x v="3"/>
    <x v="0"/>
  </r>
  <r>
    <x v="1"/>
    <m/>
    <s v="Realizar a alteração de um produto cadastrado"/>
    <x v="4"/>
    <s v="JOÃOZINHO"/>
    <x v="0"/>
    <x v="0"/>
  </r>
  <r>
    <x v="2"/>
    <m/>
    <s v="Realizar a alteração de um produto cadastrado"/>
    <x v="0"/>
    <s v="FULANINHO"/>
    <x v="1"/>
    <x v="0"/>
  </r>
  <r>
    <x v="0"/>
    <m/>
    <s v="Realizar a alteração de um produto cadastrado"/>
    <x v="1"/>
    <s v="MANÉZINHO"/>
    <x v="2"/>
    <x v="0"/>
  </r>
  <r>
    <x v="1"/>
    <m/>
    <s v="Realizar a alteração de um produto cadastrado"/>
    <x v="2"/>
    <s v="MARIAZINHA"/>
    <x v="3"/>
    <x v="0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0"/>
    <s v="MANÉZINHO"/>
    <x v="2"/>
    <x v="0"/>
  </r>
  <r>
    <x v="2"/>
    <m/>
    <s v="Realizar a alteração de um produto cadastrado"/>
    <x v="1"/>
    <s v="MARIAZINHA"/>
    <x v="3"/>
    <x v="0"/>
  </r>
  <r>
    <x v="0"/>
    <m/>
    <s v="Realizar a alteração de um produto cadastrado"/>
    <x v="2"/>
    <s v="JOÃOZINHO"/>
    <x v="0"/>
    <x v="0"/>
  </r>
  <r>
    <x v="1"/>
    <m/>
    <s v="Realizar a alteração de um produto cadastrado"/>
    <x v="3"/>
    <s v="FULANINHO"/>
    <x v="1"/>
    <x v="0"/>
  </r>
  <r>
    <x v="2"/>
    <m/>
    <s v="Realizar a alteração de um produto cadastrado"/>
    <x v="4"/>
    <s v="MANÉZINHO"/>
    <x v="2"/>
    <x v="0"/>
  </r>
  <r>
    <x v="0"/>
    <m/>
    <s v="Realizar a alteração de um produto cadastrado"/>
    <x v="0"/>
    <s v="MARIAZINHA"/>
    <x v="3"/>
    <x v="0"/>
  </r>
  <r>
    <x v="1"/>
    <m/>
    <s v="Realizar a alteração de um produto cadastrado"/>
    <x v="1"/>
    <s v="JOÃOZINHO"/>
    <x v="0"/>
    <x v="0"/>
  </r>
  <r>
    <x v="2"/>
    <m/>
    <s v="Realizar a alteração de um produto cadastrado"/>
    <x v="2"/>
    <s v="FULANINHO"/>
    <x v="1"/>
    <x v="0"/>
  </r>
  <r>
    <x v="0"/>
    <m/>
    <s v="Realizar a alteração de um produto cadastrado"/>
    <x v="3"/>
    <s v="MANÉZINHO"/>
    <x v="2"/>
    <x v="0"/>
  </r>
  <r>
    <x v="1"/>
    <m/>
    <s v="Realizar a alteração de um produto cadastrado"/>
    <x v="4"/>
    <s v="MARIAZINHA"/>
    <x v="3"/>
    <x v="0"/>
  </r>
  <r>
    <x v="2"/>
    <m/>
    <s v="Realizar a alteração de um produto cadastrado"/>
    <x v="0"/>
    <s v="JOÃOZINHO"/>
    <x v="0"/>
    <x v="0"/>
  </r>
  <r>
    <x v="0"/>
    <m/>
    <s v="Realizar a alteração de um produto cadastrado"/>
    <x v="1"/>
    <s v="FULANINHO"/>
    <x v="1"/>
    <x v="0"/>
  </r>
  <r>
    <x v="1"/>
    <m/>
    <s v="Realizar a alteração de um produto cadastrado"/>
    <x v="2"/>
    <s v="MANÉZINHO"/>
    <x v="2"/>
    <x v="0"/>
  </r>
  <r>
    <x v="2"/>
    <m/>
    <s v="Realizar a alteração de um produto cadastrado"/>
    <x v="3"/>
    <s v="MARIAZINHA"/>
    <x v="3"/>
    <x v="0"/>
  </r>
  <r>
    <x v="0"/>
    <m/>
    <s v="Realizar a alteração de um produto cadastrado"/>
    <x v="4"/>
    <s v="JOÃOZINHO"/>
    <x v="0"/>
    <x v="0"/>
  </r>
  <r>
    <x v="1"/>
    <m/>
    <s v="Realizar a alteração de um produto cadastrado"/>
    <x v="0"/>
    <s v="FULANINHO"/>
    <x v="1"/>
    <x v="0"/>
  </r>
  <r>
    <x v="2"/>
    <m/>
    <s v="Realizar a alteração de um produto cadastrado"/>
    <x v="1"/>
    <s v="MANÉZINHO"/>
    <x v="2"/>
    <x v="0"/>
  </r>
  <r>
    <x v="0"/>
    <m/>
    <s v="Realizar a alteração de um produto cadastrado"/>
    <x v="2"/>
    <s v="MARIAZINHA"/>
    <x v="3"/>
    <x v="0"/>
  </r>
  <r>
    <x v="1"/>
    <m/>
    <s v="Realizar a alteração de um produto cadastrado"/>
    <x v="3"/>
    <s v="JOÃOZINHO"/>
    <x v="0"/>
    <x v="0"/>
  </r>
  <r>
    <x v="2"/>
    <m/>
    <s v="Realizar a alteração de um produto cadastrado"/>
    <x v="4"/>
    <s v="FULANINHO"/>
    <x v="1"/>
    <x v="0"/>
  </r>
  <r>
    <x v="0"/>
    <m/>
    <s v="Realizar a alteração de um produto cadastrado"/>
    <x v="0"/>
    <s v="MANÉZINHO"/>
    <x v="2"/>
    <x v="0"/>
  </r>
  <r>
    <x v="1"/>
    <m/>
    <s v="Realizar a alteração de um produto cadastrado"/>
    <x v="1"/>
    <s v="MARIAZINHA"/>
    <x v="3"/>
    <x v="0"/>
  </r>
  <r>
    <x v="2"/>
    <m/>
    <s v="Realizar a alteração de um produto cadastrado"/>
    <x v="2"/>
    <s v="JOÃOZINHO"/>
    <x v="0"/>
    <x v="0"/>
  </r>
  <r>
    <x v="0"/>
    <m/>
    <s v="Realizar a alteração de um produto cadastrado"/>
    <x v="3"/>
    <s v="FULANINHO"/>
    <x v="1"/>
    <x v="0"/>
  </r>
  <r>
    <x v="1"/>
    <m/>
    <s v="Realizar a alteração de um produto cadastrado"/>
    <x v="4"/>
    <s v="MANÉZINHO"/>
    <x v="2"/>
    <x v="0"/>
  </r>
  <r>
    <x v="2"/>
    <m/>
    <s v="Realizar a alteração de um produto cadastrado"/>
    <x v="0"/>
    <s v="MARIAZINHA"/>
    <x v="3"/>
    <x v="0"/>
  </r>
  <r>
    <x v="0"/>
    <m/>
    <s v="Realizar a alteração de um produto cadastrado"/>
    <x v="1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0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2"/>
  </r>
  <r>
    <x v="1"/>
    <m/>
    <s v="Realizar a alteração de um produto cadastrado"/>
    <x v="3"/>
    <s v="MARIAZINHA"/>
    <x v="3"/>
    <x v="3"/>
  </r>
  <r>
    <x v="2"/>
    <m/>
    <s v="Realizar a alteração de um produto cadastrado"/>
    <x v="4"/>
    <s v="JOÃOZINHO"/>
    <x v="0"/>
    <x v="0"/>
  </r>
  <r>
    <x v="0"/>
    <m/>
    <s v="Realizar a alteração de um produto cadastrado"/>
    <x v="0"/>
    <s v="FULANINHO"/>
    <x v="1"/>
    <x v="0"/>
  </r>
  <r>
    <x v="1"/>
    <m/>
    <s v="Realizar a alteração de um produto cadastrado"/>
    <x v="1"/>
    <s v="MANÉZINHO"/>
    <x v="2"/>
    <x v="4"/>
  </r>
  <r>
    <x v="2"/>
    <m/>
    <s v="Realizar a alteração de um produto cadastrado"/>
    <x v="2"/>
    <s v="MARIAZINHA"/>
    <x v="3"/>
    <x v="4"/>
  </r>
  <r>
    <x v="0"/>
    <m/>
    <s v="Realizar a alteração de um produto cadastrado"/>
    <x v="3"/>
    <s v="JOÃOZINHO"/>
    <x v="0"/>
    <x v="0"/>
  </r>
  <r>
    <x v="1"/>
    <m/>
    <s v="Realizar a alteração de um produto cadastrado"/>
    <x v="4"/>
    <s v="FULANINHO"/>
    <x v="1"/>
    <x v="0"/>
  </r>
  <r>
    <x v="2"/>
    <m/>
    <s v="Realizar a alteração de um produto cadastrado"/>
    <x v="0"/>
    <s v="MANÉZINHO"/>
    <x v="2"/>
    <x v="0"/>
  </r>
  <r>
    <x v="0"/>
    <m/>
    <s v="Realizar a alteração de um produto cadastrado"/>
    <x v="1"/>
    <s v="MARIAZINHA"/>
    <x v="3"/>
    <x v="0"/>
  </r>
  <r>
    <x v="1"/>
    <m/>
    <s v="Realizar a alteração de um produto cadastrado"/>
    <x v="2"/>
    <s v="JOÃOZINHO"/>
    <x v="0"/>
    <x v="0"/>
  </r>
  <r>
    <x v="2"/>
    <m/>
    <s v="Realizar a alteração de um produto cadastrado"/>
    <x v="3"/>
    <s v="FULANINHO"/>
    <x v="1"/>
    <x v="0"/>
  </r>
  <r>
    <x v="0"/>
    <m/>
    <s v="Realizar a alteração de um produto cadastrado"/>
    <x v="4"/>
    <s v="MANÉZINHO"/>
    <x v="2"/>
    <x v="0"/>
  </r>
  <r>
    <x v="1"/>
    <m/>
    <s v="Realizar a alteração de um produto cadastrado"/>
    <x v="0"/>
    <s v="MARIAZINHA"/>
    <x v="3"/>
    <x v="0"/>
  </r>
  <r>
    <x v="2"/>
    <m/>
    <s v="Realizar a alteração de um produto cadastrado"/>
    <x v="1"/>
    <s v="JOÃOZINHO"/>
    <x v="0"/>
    <x v="0"/>
  </r>
  <r>
    <x v="0"/>
    <m/>
    <s v="Realizar a alteração de um produto cadastrado"/>
    <x v="2"/>
    <s v="FULANINHO"/>
    <x v="1"/>
    <x v="0"/>
  </r>
  <r>
    <x v="1"/>
    <m/>
    <s v="Realizar a alteração de um produto cadastrado"/>
    <x v="3"/>
    <s v="MANÉZINHO"/>
    <x v="2"/>
    <x v="4"/>
  </r>
  <r>
    <x v="2"/>
    <m/>
    <s v="Realizar a alteração de um produto cadastrado"/>
    <x v="4"/>
    <s v="MARIAZINHA"/>
    <x v="3"/>
    <x v="0"/>
  </r>
  <r>
    <x v="0"/>
    <m/>
    <s v="Realizar a alteração de um produto cadastrado"/>
    <x v="0"/>
    <s v="JOÃOZINHO"/>
    <x v="0"/>
    <x v="0"/>
  </r>
  <r>
    <x v="1"/>
    <m/>
    <s v="Realizar a alteração de um produto cadastrado"/>
    <x v="1"/>
    <s v="FULANINHO"/>
    <x v="1"/>
    <x v="0"/>
  </r>
  <r>
    <x v="2"/>
    <m/>
    <s v="Realizar a alteração de um produto cadastrado"/>
    <x v="2"/>
    <s v="MANÉZINHO"/>
    <x v="2"/>
    <x v="4"/>
  </r>
  <r>
    <x v="0"/>
    <m/>
    <s v="Realizar a alteração de um produto cadastrado"/>
    <x v="3"/>
    <s v="MARIAZINHA"/>
    <x v="3"/>
    <x v="0"/>
  </r>
  <r>
    <x v="1"/>
    <m/>
    <s v="Realizar a alteração de um produto cadastrado"/>
    <x v="4"/>
    <s v="JOÃOZINHO"/>
    <x v="0"/>
    <x v="0"/>
  </r>
  <r>
    <x v="2"/>
    <m/>
    <s v="Realizar a alteração de um produto cadastrado"/>
    <x v="0"/>
    <s v="FULANINHO"/>
    <x v="1"/>
    <x v="0"/>
  </r>
  <r>
    <x v="0"/>
    <m/>
    <s v="Realizar a alteração de um produto cadastrado"/>
    <x v="1"/>
    <s v="MANÉZINHO"/>
    <x v="2"/>
    <x v="2"/>
  </r>
  <r>
    <x v="1"/>
    <m/>
    <s v="Realizar a alteração de um produto cadastrado"/>
    <x v="2"/>
    <s v="MARIAZINHA"/>
    <x v="3"/>
    <x v="3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0"/>
    <s v="MANÉZINHO"/>
    <x v="2"/>
    <x v="0"/>
  </r>
  <r>
    <x v="2"/>
    <m/>
    <s v="Realizar a alteração de um produto cadastrado"/>
    <x v="1"/>
    <s v="MARIAZINHA"/>
    <x v="3"/>
    <x v="4"/>
  </r>
  <r>
    <x v="0"/>
    <m/>
    <s v="Realizar a alteração de um produto cadastrado"/>
    <x v="2"/>
    <s v="JOÃOZINHO"/>
    <x v="0"/>
    <x v="0"/>
  </r>
  <r>
    <x v="1"/>
    <m/>
    <s v="Realizar a alteração de um produto cadastrado"/>
    <x v="3"/>
    <s v="FULANINHO"/>
    <x v="1"/>
    <x v="0"/>
  </r>
  <r>
    <x v="2"/>
    <m/>
    <s v="Realizar a alteração de um produto cadastrado"/>
    <x v="4"/>
    <s v="MANÉZINHO"/>
    <x v="2"/>
    <x v="0"/>
  </r>
  <r>
    <x v="0"/>
    <m/>
    <s v="Realizar a alteração de um produto cadastrado"/>
    <x v="0"/>
    <s v="MARIAZINHA"/>
    <x v="3"/>
    <x v="0"/>
  </r>
  <r>
    <x v="1"/>
    <m/>
    <s v="Realizar a alteração de um produto cadastrado"/>
    <x v="1"/>
    <s v="JOÃOZINHO"/>
    <x v="0"/>
    <x v="0"/>
  </r>
  <r>
    <x v="2"/>
    <m/>
    <s v="Realizar a alteração de um produto cadastrado"/>
    <x v="2"/>
    <s v="FULANINHO"/>
    <x v="1"/>
    <x v="0"/>
  </r>
  <r>
    <x v="0"/>
    <m/>
    <s v="Realizar a alteração de um produto cadastrado"/>
    <x v="3"/>
    <s v="MANÉZINHO"/>
    <x v="2"/>
    <x v="2"/>
  </r>
  <r>
    <x v="1"/>
    <m/>
    <s v="Realizar a alteração de um produto cadastrado"/>
    <x v="4"/>
    <s v="MARIAZINHA"/>
    <x v="3"/>
    <x v="0"/>
  </r>
  <r>
    <x v="2"/>
    <m/>
    <s v="Realizar a alteração de um produto cadastrado"/>
    <x v="0"/>
    <s v="JOÃOZINHO"/>
    <x v="0"/>
    <x v="0"/>
  </r>
  <r>
    <x v="0"/>
    <m/>
    <s v="Realizar a alteração de um produto cadastrado"/>
    <x v="1"/>
    <s v="FULANINHO"/>
    <x v="1"/>
    <x v="0"/>
  </r>
  <r>
    <x v="1"/>
    <m/>
    <s v="Realizar a alteração de um produto cadastrado"/>
    <x v="2"/>
    <s v="MANÉZINHO"/>
    <x v="2"/>
    <x v="4"/>
  </r>
  <r>
    <x v="2"/>
    <m/>
    <s v="Realizar a alteração de um produto cadastrado"/>
    <x v="3"/>
    <s v="MARIAZINHA"/>
    <x v="3"/>
    <x v="4"/>
  </r>
  <r>
    <x v="0"/>
    <m/>
    <s v="Realizar a alteração de um produto cadastrado"/>
    <x v="4"/>
    <s v="JOÃOZINHO"/>
    <x v="0"/>
    <x v="0"/>
  </r>
  <r>
    <x v="1"/>
    <m/>
    <s v="Realizar a alteração de um produto cadastrado"/>
    <x v="0"/>
    <s v="FULANINHO"/>
    <x v="1"/>
    <x v="0"/>
  </r>
  <r>
    <x v="2"/>
    <m/>
    <s v="Realizar a alteração de um produto cadastrado"/>
    <x v="1"/>
    <s v="MANÉZINHO"/>
    <x v="2"/>
    <x v="4"/>
  </r>
  <r>
    <x v="0"/>
    <m/>
    <s v="Realizar a alteração de um produto cadastrado"/>
    <x v="2"/>
    <s v="MARIAZINHA"/>
    <x v="3"/>
    <x v="0"/>
  </r>
  <r>
    <x v="1"/>
    <m/>
    <s v="Realizar a alteração de um produto cadastrado"/>
    <x v="3"/>
    <s v="JOÃOZINHO"/>
    <x v="0"/>
    <x v="0"/>
  </r>
  <r>
    <x v="2"/>
    <m/>
    <s v="Realizar a alteração de um produto cadastrado"/>
    <x v="4"/>
    <s v="FULANINHO"/>
    <x v="1"/>
    <x v="0"/>
  </r>
  <r>
    <x v="0"/>
    <m/>
    <s v="Realizar a alteração de um produto cadastrado"/>
    <x v="0"/>
    <s v="MANÉZINHO"/>
    <x v="2"/>
    <x v="0"/>
  </r>
  <r>
    <x v="1"/>
    <m/>
    <s v="Realizar a alteração de um produto cadastrado"/>
    <x v="1"/>
    <s v="MARIAZINHA"/>
    <x v="3"/>
    <x v="3"/>
  </r>
  <r>
    <x v="2"/>
    <m/>
    <s v="Realizar a alteração de um produto cadastrado"/>
    <x v="2"/>
    <s v="JOÃOZINHO"/>
    <x v="0"/>
    <x v="0"/>
  </r>
  <r>
    <x v="0"/>
    <m/>
    <s v="Realizar a alteração de um produto cadastrado"/>
    <x v="3"/>
    <s v="FULANINHO"/>
    <x v="1"/>
    <x v="0"/>
  </r>
  <r>
    <x v="1"/>
    <m/>
    <s v="Realizar a alteração de um produto cadastrado"/>
    <x v="4"/>
    <s v="MANÉZINHO"/>
    <x v="2"/>
    <x v="0"/>
  </r>
  <r>
    <x v="2"/>
    <m/>
    <s v="Realizar a alteração de um produto cadastrado"/>
    <x v="0"/>
    <s v="MARIAZINHA"/>
    <x v="3"/>
    <x v="0"/>
  </r>
  <r>
    <x v="0"/>
    <m/>
    <s v="Realizar a alteração de um produto cadastrado"/>
    <x v="1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4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2"/>
  </r>
  <r>
    <x v="1"/>
    <m/>
    <s v="Realizar a alteração de um produto cadastrado"/>
    <x v="3"/>
    <s v="MARIAZINHA"/>
    <x v="3"/>
    <x v="3"/>
  </r>
  <r>
    <x v="2"/>
    <m/>
    <s v="Realizar a alteração de um produto cadastrado"/>
    <x v="4"/>
    <s v="JOÃOZINHO"/>
    <x v="0"/>
    <x v="0"/>
  </r>
  <r>
    <x v="0"/>
    <m/>
    <s v="Realizar a alteração de um produto cadastrado"/>
    <x v="0"/>
    <s v="FULANINHO"/>
    <x v="1"/>
    <x v="0"/>
  </r>
  <r>
    <x v="1"/>
    <m/>
    <s v="Realizar a alteração de um produto cadastrado"/>
    <x v="1"/>
    <s v="MANÉZINHO"/>
    <x v="2"/>
    <x v="4"/>
  </r>
  <r>
    <x v="2"/>
    <m/>
    <s v="Realizar a alteração de um produto cadastrado"/>
    <x v="2"/>
    <s v="MARIAZINHA"/>
    <x v="3"/>
    <x v="4"/>
  </r>
  <r>
    <x v="0"/>
    <m/>
    <s v="Realizar a alteração de um produto cadastrado"/>
    <x v="3"/>
    <s v="JOÃOZINHO"/>
    <x v="0"/>
    <x v="0"/>
  </r>
  <r>
    <x v="1"/>
    <m/>
    <s v="Realizar a alteração de um produto cadastrado"/>
    <x v="4"/>
    <s v="FULANINHO"/>
    <x v="1"/>
    <x v="0"/>
  </r>
  <r>
    <x v="2"/>
    <m/>
    <s v="Realizar a alteração de um produto cadastrado"/>
    <x v="0"/>
    <s v="MANÉZINHO"/>
    <x v="2"/>
    <x v="0"/>
  </r>
  <r>
    <x v="0"/>
    <m/>
    <s v="Realizar a alteração de um produto cadastrado"/>
    <x v="1"/>
    <s v="MARIAZINHA"/>
    <x v="3"/>
    <x v="0"/>
  </r>
  <r>
    <x v="1"/>
    <m/>
    <s v="Realizar a alteração de um produto cadastrado"/>
    <x v="2"/>
    <s v="JOÃOZINHO"/>
    <x v="0"/>
    <x v="0"/>
  </r>
  <r>
    <x v="2"/>
    <m/>
    <s v="Realizar a alteração de um produto cadastrado"/>
    <x v="3"/>
    <s v="FULANINHO"/>
    <x v="1"/>
    <x v="0"/>
  </r>
  <r>
    <x v="0"/>
    <m/>
    <s v="Realizar a alteração de um produto cadastrado"/>
    <x v="4"/>
    <s v="MANÉZINHO"/>
    <x v="2"/>
    <x v="0"/>
  </r>
  <r>
    <x v="1"/>
    <m/>
    <s v="Realizar a alteração de um produto cadastrado"/>
    <x v="0"/>
    <s v="MARIAZINHA"/>
    <x v="3"/>
    <x v="0"/>
  </r>
  <r>
    <x v="2"/>
    <m/>
    <s v="Realizar a alteração de um produto cadastrado"/>
    <x v="1"/>
    <s v="JOÃOZINHO"/>
    <x v="0"/>
    <x v="0"/>
  </r>
  <r>
    <x v="0"/>
    <m/>
    <s v="Realizar a alteração de um produto cadastrado"/>
    <x v="2"/>
    <s v="FULANINHO"/>
    <x v="1"/>
    <x v="0"/>
  </r>
  <r>
    <x v="1"/>
    <m/>
    <s v="Realizar a alteração de um produto cadastrado"/>
    <x v="3"/>
    <s v="MANÉZINHO"/>
    <x v="2"/>
    <x v="4"/>
  </r>
  <r>
    <x v="2"/>
    <m/>
    <s v="Realizar a alteração de um produto cadastrado"/>
    <x v="4"/>
    <s v="MARIAZINHA"/>
    <x v="3"/>
    <x v="0"/>
  </r>
  <r>
    <x v="0"/>
    <m/>
    <s v="Realizar a alteração de um produto cadastrado"/>
    <x v="0"/>
    <s v="JOÃOZINHO"/>
    <x v="0"/>
    <x v="0"/>
  </r>
  <r>
    <x v="1"/>
    <m/>
    <s v="Realizar a alteração de um produto cadastrado"/>
    <x v="1"/>
    <s v="FULANINHO"/>
    <x v="1"/>
    <x v="0"/>
  </r>
  <r>
    <x v="2"/>
    <m/>
    <s v="Realizar a alteração de um produto cadastrado"/>
    <x v="2"/>
    <s v="MANÉZINHO"/>
    <x v="2"/>
    <x v="4"/>
  </r>
  <r>
    <x v="0"/>
    <m/>
    <s v="Realizar a alteração de um produto cadastrado"/>
    <x v="3"/>
    <s v="MARIAZINHA"/>
    <x v="3"/>
    <x v="0"/>
  </r>
  <r>
    <x v="1"/>
    <m/>
    <s v="Realizar a alteração de um produto cadastrado"/>
    <x v="4"/>
    <s v="JOÃOZINHO"/>
    <x v="0"/>
    <x v="0"/>
  </r>
  <r>
    <x v="2"/>
    <m/>
    <s v="Realizar a alteração de um produto cadastrado"/>
    <x v="0"/>
    <s v="FULANINHO"/>
    <x v="1"/>
    <x v="0"/>
  </r>
  <r>
    <x v="0"/>
    <m/>
    <s v="Realizar a alteração de um produto cadastrado"/>
    <x v="1"/>
    <s v="MANÉZINHO"/>
    <x v="2"/>
    <x v="2"/>
  </r>
  <r>
    <x v="1"/>
    <m/>
    <s v="Realizar a alteração de um produto cadastrado"/>
    <x v="2"/>
    <s v="MARIAZINHA"/>
    <x v="3"/>
    <x v="3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0"/>
    <s v="MANÉZINHO"/>
    <x v="2"/>
    <x v="0"/>
  </r>
  <r>
    <x v="2"/>
    <m/>
    <s v="Realizar a alteração de um produto cadastrado"/>
    <x v="1"/>
    <s v="MARIAZINHA"/>
    <x v="3"/>
    <x v="4"/>
  </r>
  <r>
    <x v="0"/>
    <m/>
    <s v="Realizar a alteração de um produto cadastrado"/>
    <x v="2"/>
    <s v="JOÃOZINHO"/>
    <x v="0"/>
    <x v="0"/>
  </r>
  <r>
    <x v="1"/>
    <m/>
    <s v="Realizar a alteração de um produto cadastrado"/>
    <x v="3"/>
    <s v="FULANINHO"/>
    <x v="1"/>
    <x v="0"/>
  </r>
  <r>
    <x v="2"/>
    <m/>
    <s v="Realizar a alteração de um produto cadastrado"/>
    <x v="4"/>
    <s v="MANÉZINHO"/>
    <x v="2"/>
    <x v="0"/>
  </r>
  <r>
    <x v="0"/>
    <m/>
    <s v="Realizar a alteração de um produto cadastrado"/>
    <x v="0"/>
    <s v="MARIAZINHA"/>
    <x v="3"/>
    <x v="0"/>
  </r>
  <r>
    <x v="1"/>
    <m/>
    <s v="Realizar a alteração de um produto cadastrado"/>
    <x v="1"/>
    <s v="JOÃOZINHO"/>
    <x v="0"/>
    <x v="0"/>
  </r>
  <r>
    <x v="2"/>
    <m/>
    <s v="Realizar a alteração de um produto cadastrado"/>
    <x v="2"/>
    <s v="FULANINHO"/>
    <x v="1"/>
    <x v="0"/>
  </r>
  <r>
    <x v="0"/>
    <m/>
    <s v="Realizar a alteração de um produto cadastrado"/>
    <x v="3"/>
    <s v="MANÉZINHO"/>
    <x v="2"/>
    <x v="2"/>
  </r>
  <r>
    <x v="1"/>
    <m/>
    <s v="Realizar a alteração de um produto cadastrado"/>
    <x v="4"/>
    <s v="MARIAZINHA"/>
    <x v="3"/>
    <x v="0"/>
  </r>
  <r>
    <x v="2"/>
    <m/>
    <s v="Realizar a alteração de um produto cadastrado"/>
    <x v="0"/>
    <s v="JOÃOZINHO"/>
    <x v="0"/>
    <x v="0"/>
  </r>
  <r>
    <x v="0"/>
    <m/>
    <s v="Realizar a alteração de um produto cadastrado"/>
    <x v="1"/>
    <s v="FULANINHO"/>
    <x v="1"/>
    <x v="0"/>
  </r>
  <r>
    <x v="1"/>
    <m/>
    <s v="Realizar a alteração de um produto cadastrado"/>
    <x v="2"/>
    <s v="MANÉZINHO"/>
    <x v="2"/>
    <x v="5"/>
  </r>
  <r>
    <x v="2"/>
    <m/>
    <s v="Realizar a alteração de um produto cadastrado"/>
    <x v="3"/>
    <s v="MARIAZINHA"/>
    <x v="3"/>
    <x v="4"/>
  </r>
  <r>
    <x v="0"/>
    <m/>
    <s v="Realizar a alteração de um produto cadastrado"/>
    <x v="4"/>
    <s v="JOÃOZINHO"/>
    <x v="0"/>
    <x v="0"/>
  </r>
  <r>
    <x v="1"/>
    <m/>
    <s v="Realizar a alteração de um produto cadastrado"/>
    <x v="0"/>
    <s v="FULANINHO"/>
    <x v="1"/>
    <x v="0"/>
  </r>
  <r>
    <x v="2"/>
    <m/>
    <s v="Realizar a alteração de um produto cadastrado"/>
    <x v="1"/>
    <s v="MANÉZINHO"/>
    <x v="2"/>
    <x v="4"/>
  </r>
  <r>
    <x v="0"/>
    <m/>
    <s v="Realizar a alteração de um produto cadastrado"/>
    <x v="2"/>
    <s v="MARIAZINHA"/>
    <x v="3"/>
    <x v="0"/>
  </r>
  <r>
    <x v="1"/>
    <m/>
    <s v="Realizar a alteração de um produto cadastrado"/>
    <x v="3"/>
    <s v="JOÃOZINHO"/>
    <x v="0"/>
    <x v="0"/>
  </r>
  <r>
    <x v="2"/>
    <m/>
    <s v="Realizar a alteração de um produto cadastrado"/>
    <x v="4"/>
    <s v="FULANINHO"/>
    <x v="1"/>
    <x v="0"/>
  </r>
  <r>
    <x v="0"/>
    <m/>
    <s v="Realizar a alteração de um produto cadastrado"/>
    <x v="0"/>
    <s v="MANÉZINHO"/>
    <x v="2"/>
    <x v="0"/>
  </r>
  <r>
    <x v="1"/>
    <m/>
    <s v="Realizar a alteração de um produto cadastrado"/>
    <x v="1"/>
    <s v="MARIAZINHA"/>
    <x v="3"/>
    <x v="3"/>
  </r>
  <r>
    <x v="2"/>
    <m/>
    <s v="Realizar a alteração de um produto cadastrado"/>
    <x v="2"/>
    <s v="JOÃOZINHO"/>
    <x v="0"/>
    <x v="0"/>
  </r>
  <r>
    <x v="0"/>
    <m/>
    <s v="Realizar a alteração de um produto cadastrado"/>
    <x v="3"/>
    <s v="FULANINHO"/>
    <x v="1"/>
    <x v="0"/>
  </r>
  <r>
    <x v="1"/>
    <m/>
    <s v="Realizar a alteração de um produto cadastrado"/>
    <x v="4"/>
    <s v="MANÉZINHO"/>
    <x v="2"/>
    <x v="0"/>
  </r>
  <r>
    <x v="2"/>
    <m/>
    <s v="Realizar a alteração de um produto cadastrado"/>
    <x v="0"/>
    <s v="MARIAZINHA"/>
    <x v="3"/>
    <x v="0"/>
  </r>
  <r>
    <x v="0"/>
    <m/>
    <s v="Realizar a alteração de um produto cadastrado"/>
    <x v="1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4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2"/>
  </r>
  <r>
    <x v="1"/>
    <m/>
    <s v="Realizar a alteração de um produto cadastrado"/>
    <x v="3"/>
    <s v="MARIAZINHA"/>
    <x v="3"/>
    <x v="3"/>
  </r>
  <r>
    <x v="2"/>
    <m/>
    <s v="Realizar a alteração de um produto cadastrado"/>
    <x v="4"/>
    <s v="JOÃOZINHO"/>
    <x v="0"/>
    <x v="0"/>
  </r>
  <r>
    <x v="0"/>
    <m/>
    <s v="Realizar a alteração de um produto cadastrado"/>
    <x v="0"/>
    <s v="FULANINHO"/>
    <x v="1"/>
    <x v="0"/>
  </r>
  <r>
    <x v="1"/>
    <m/>
    <s v="Realizar a alteração de um produto cadastrado"/>
    <x v="1"/>
    <s v="MANÉZINHO"/>
    <x v="2"/>
    <x v="5"/>
  </r>
  <r>
    <x v="2"/>
    <m/>
    <s v="Realizar a alteração de um produto cadastrado"/>
    <x v="2"/>
    <s v="MARIAZINHA"/>
    <x v="3"/>
    <x v="4"/>
  </r>
  <r>
    <x v="0"/>
    <m/>
    <s v="Realizar a alteração de um produto cadastrado"/>
    <x v="3"/>
    <s v="JOÃOZINHO"/>
    <x v="0"/>
    <x v="0"/>
  </r>
  <r>
    <x v="1"/>
    <m/>
    <s v="Realizar a alteração de um produto cadastrado"/>
    <x v="4"/>
    <s v="FULANINHO"/>
    <x v="1"/>
    <x v="0"/>
  </r>
  <r>
    <x v="2"/>
    <m/>
    <s v="Realizar a alteração de um produto cadastrado"/>
    <x v="0"/>
    <s v="MANÉZINHO"/>
    <x v="2"/>
    <x v="0"/>
  </r>
  <r>
    <x v="0"/>
    <m/>
    <s v="Realizar a alteração de um produto cadastrado"/>
    <x v="1"/>
    <s v="MARIAZINHA"/>
    <x v="3"/>
    <x v="0"/>
  </r>
  <r>
    <x v="1"/>
    <m/>
    <s v="Realizar a alteração de um produto cadastrado"/>
    <x v="2"/>
    <s v="JOÃOZINHO"/>
    <x v="0"/>
    <x v="0"/>
  </r>
  <r>
    <x v="2"/>
    <m/>
    <s v="Realizar a alteração de um produto cadastrado"/>
    <x v="3"/>
    <s v="FULANINHO"/>
    <x v="1"/>
    <x v="0"/>
  </r>
  <r>
    <x v="0"/>
    <m/>
    <s v="Realizar a alteração de um produto cadastrado"/>
    <x v="4"/>
    <s v="MANÉZINHO"/>
    <x v="2"/>
    <x v="0"/>
  </r>
  <r>
    <x v="1"/>
    <m/>
    <s v="Realizar a alteração de um produto cadastrado"/>
    <x v="0"/>
    <s v="MARIAZINHA"/>
    <x v="3"/>
    <x v="0"/>
  </r>
  <r>
    <x v="2"/>
    <m/>
    <s v="Realizar a alteração de um produto cadastrado"/>
    <x v="1"/>
    <s v="JOÃOZINHO"/>
    <x v="0"/>
    <x v="0"/>
  </r>
  <r>
    <x v="0"/>
    <m/>
    <s v="Realizar a alteração de um produto cadastrado"/>
    <x v="2"/>
    <s v="FULANINHO"/>
    <x v="1"/>
    <x v="0"/>
  </r>
  <r>
    <x v="1"/>
    <m/>
    <s v="Realizar a alteração de um produto cadastrado"/>
    <x v="3"/>
    <s v="MANÉZINHO"/>
    <x v="2"/>
    <x v="5"/>
  </r>
  <r>
    <x v="2"/>
    <m/>
    <s v="Realizar a alteração de um produto cadastrado"/>
    <x v="4"/>
    <s v="MARIAZINHA"/>
    <x v="3"/>
    <x v="0"/>
  </r>
  <r>
    <x v="0"/>
    <m/>
    <s v="Realizar a alteração de um produto cadastrado"/>
    <x v="0"/>
    <s v="JOÃOZINHO"/>
    <x v="0"/>
    <x v="0"/>
  </r>
  <r>
    <x v="1"/>
    <m/>
    <s v="Realizar a alteração de um produto cadastrado"/>
    <x v="1"/>
    <s v="FULANINHO"/>
    <x v="1"/>
    <x v="0"/>
  </r>
  <r>
    <x v="2"/>
    <m/>
    <s v="Realizar a alteração de um produto cadastrado"/>
    <x v="2"/>
    <s v="MANÉZINHO"/>
    <x v="2"/>
    <x v="4"/>
  </r>
  <r>
    <x v="0"/>
    <m/>
    <s v="Realizar a alteração de um produto cadastrado"/>
    <x v="3"/>
    <s v="MARIAZINHA"/>
    <x v="3"/>
    <x v="0"/>
  </r>
  <r>
    <x v="1"/>
    <m/>
    <s v="Realizar a alteração de um produto cadastrado"/>
    <x v="4"/>
    <s v="JOÃOZINHO"/>
    <x v="0"/>
    <x v="0"/>
  </r>
  <r>
    <x v="2"/>
    <m/>
    <s v="Realizar a alteração de um produto cadastrado"/>
    <x v="0"/>
    <s v="FULANINHO"/>
    <x v="1"/>
    <x v="0"/>
  </r>
  <r>
    <x v="0"/>
    <m/>
    <s v="Realizar a alteração de um produto cadastrado"/>
    <x v="1"/>
    <s v="MANÉZINHO"/>
    <x v="2"/>
    <x v="2"/>
  </r>
  <r>
    <x v="1"/>
    <m/>
    <s v="Realizar a alteração de um produto cadastrado"/>
    <x v="2"/>
    <s v="MARIAZINHA"/>
    <x v="3"/>
    <x v="3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0"/>
    <s v="MANÉZINHO"/>
    <x v="2"/>
    <x v="0"/>
  </r>
  <r>
    <x v="2"/>
    <m/>
    <s v="Realizar a alteração de um produto cadastrado"/>
    <x v="1"/>
    <s v="MARIAZINHA"/>
    <x v="3"/>
    <x v="4"/>
  </r>
  <r>
    <x v="0"/>
    <m/>
    <s v="Realizar a alteração de um produto cadastrado"/>
    <x v="2"/>
    <s v="JOÃOZINHO"/>
    <x v="0"/>
    <x v="0"/>
  </r>
  <r>
    <x v="1"/>
    <m/>
    <s v="Realizar a alteração de um produto cadastrado"/>
    <x v="3"/>
    <s v="FULANINHO"/>
    <x v="1"/>
    <x v="0"/>
  </r>
  <r>
    <x v="2"/>
    <m/>
    <s v="Realizar a alteração de um produto cadastrado"/>
    <x v="4"/>
    <s v="MANÉZINHO"/>
    <x v="2"/>
    <x v="0"/>
  </r>
  <r>
    <x v="0"/>
    <m/>
    <s v="Realizar a alteração de um produto cadastrado"/>
    <x v="0"/>
    <s v="MARIAZINHA"/>
    <x v="3"/>
    <x v="0"/>
  </r>
  <r>
    <x v="1"/>
    <m/>
    <s v="Realizar a alteração de um produto cadastrado"/>
    <x v="1"/>
    <s v="JOÃOZINHO"/>
    <x v="0"/>
    <x v="0"/>
  </r>
  <r>
    <x v="2"/>
    <m/>
    <s v="Realizar a alteração de um produto cadastrado"/>
    <x v="2"/>
    <s v="FULANINHO"/>
    <x v="1"/>
    <x v="0"/>
  </r>
  <r>
    <x v="0"/>
    <m/>
    <s v="Realizar a alteração de um produto cadastrado"/>
    <x v="3"/>
    <s v="MANÉZINHO"/>
    <x v="2"/>
    <x v="2"/>
  </r>
  <r>
    <x v="1"/>
    <m/>
    <s v="Realizar a alteração de um produto cadastrado"/>
    <x v="4"/>
    <s v="MARIAZINHA"/>
    <x v="3"/>
    <x v="0"/>
  </r>
  <r>
    <x v="2"/>
    <m/>
    <s v="Realizar a alteração de um produto cadastrado"/>
    <x v="0"/>
    <s v="JOÃOZINHO"/>
    <x v="0"/>
    <x v="0"/>
  </r>
  <r>
    <x v="0"/>
    <m/>
    <s v="Realizar a alteração de um produto cadastrado"/>
    <x v="1"/>
    <s v="FULANINHO"/>
    <x v="1"/>
    <x v="0"/>
  </r>
  <r>
    <x v="1"/>
    <m/>
    <s v="Realizar a alteração de um produto cadastrado"/>
    <x v="2"/>
    <s v="MANÉZINHO"/>
    <x v="2"/>
    <x v="5"/>
  </r>
  <r>
    <x v="2"/>
    <m/>
    <s v="Realizar a alteração de um produto cadastrado"/>
    <x v="3"/>
    <s v="MARIAZINHA"/>
    <x v="3"/>
    <x v="4"/>
  </r>
  <r>
    <x v="0"/>
    <m/>
    <s v="Realizar a alteração de um produto cadastrado"/>
    <x v="4"/>
    <s v="JOÃOZINHO"/>
    <x v="0"/>
    <x v="0"/>
  </r>
  <r>
    <x v="1"/>
    <m/>
    <s v="Realizar a alteração de um produto cadastrado"/>
    <x v="0"/>
    <s v="FULANINHO"/>
    <x v="1"/>
    <x v="0"/>
  </r>
  <r>
    <x v="2"/>
    <m/>
    <s v="Realizar a alteração de um produto cadastrado"/>
    <x v="1"/>
    <s v="MANÉZINHO"/>
    <x v="2"/>
    <x v="4"/>
  </r>
  <r>
    <x v="0"/>
    <m/>
    <s v="Realizar a alteração de um produto cadastrado"/>
    <x v="2"/>
    <s v="MARIAZINHA"/>
    <x v="3"/>
    <x v="0"/>
  </r>
  <r>
    <x v="1"/>
    <m/>
    <s v="Realizar a alteração de um produto cadastrado"/>
    <x v="3"/>
    <s v="JOÃOZINHO"/>
    <x v="0"/>
    <x v="0"/>
  </r>
  <r>
    <x v="2"/>
    <m/>
    <s v="Realizar a alteração de um produto cadastrado"/>
    <x v="4"/>
    <s v="FULANINHO"/>
    <x v="1"/>
    <x v="0"/>
  </r>
  <r>
    <x v="0"/>
    <m/>
    <s v="Realizar a alteração de um produto cadastrado"/>
    <x v="0"/>
    <s v="MANÉZINHO"/>
    <x v="2"/>
    <x v="0"/>
  </r>
  <r>
    <x v="1"/>
    <m/>
    <s v="Realizar a alteração de um produto cadastrado"/>
    <x v="1"/>
    <s v="MARIAZINHA"/>
    <x v="3"/>
    <x v="3"/>
  </r>
  <r>
    <x v="2"/>
    <m/>
    <s v="Realizar a alteração de um produto cadastrado"/>
    <x v="2"/>
    <s v="JOÃOZINHO"/>
    <x v="0"/>
    <x v="0"/>
  </r>
  <r>
    <x v="0"/>
    <m/>
    <s v="Realizar a alteração de um produto cadastrado"/>
    <x v="3"/>
    <s v="FULANINHO"/>
    <x v="1"/>
    <x v="0"/>
  </r>
  <r>
    <x v="1"/>
    <m/>
    <s v="Realizar a alteração de um produto cadastrado"/>
    <x v="4"/>
    <s v="MANÉZINHO"/>
    <x v="2"/>
    <x v="0"/>
  </r>
  <r>
    <x v="2"/>
    <m/>
    <s v="Realizar a alteração de um produto cadastrado"/>
    <x v="0"/>
    <s v="MARIAZINHA"/>
    <x v="3"/>
    <x v="0"/>
  </r>
  <r>
    <x v="0"/>
    <m/>
    <s v="Realizar a alteração de um produto cadastrado"/>
    <x v="1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4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2"/>
  </r>
  <r>
    <x v="1"/>
    <m/>
    <s v="Realizar a alteração de um produto cadastrado"/>
    <x v="3"/>
    <s v="MARIAZINHA"/>
    <x v="3"/>
    <x v="3"/>
  </r>
  <r>
    <x v="2"/>
    <m/>
    <s v="Realizar a alteração de um produto cadastrado"/>
    <x v="4"/>
    <s v="JOÃOZINHO"/>
    <x v="0"/>
    <x v="0"/>
  </r>
  <r>
    <x v="0"/>
    <m/>
    <s v="Realizar a alteração de um produto cadastrado"/>
    <x v="0"/>
    <s v="FULANINHO"/>
    <x v="1"/>
    <x v="0"/>
  </r>
  <r>
    <x v="1"/>
    <m/>
    <s v="Realizar a alteração de um produto cadastrado"/>
    <x v="1"/>
    <s v="MANÉZINHO"/>
    <x v="2"/>
    <x v="5"/>
  </r>
  <r>
    <x v="2"/>
    <m/>
    <s v="Realizar a alteração de um produto cadastrado"/>
    <x v="2"/>
    <s v="MARIAZINHA"/>
    <x v="3"/>
    <x v="4"/>
  </r>
  <r>
    <x v="0"/>
    <m/>
    <s v="Realizar a alteração de um produto cadastrado"/>
    <x v="3"/>
    <s v="JOÃOZINHO"/>
    <x v="0"/>
    <x v="0"/>
  </r>
  <r>
    <x v="1"/>
    <m/>
    <s v="Realizar a alteração de um produto cadastrado"/>
    <x v="4"/>
    <s v="FULANINHO"/>
    <x v="1"/>
    <x v="0"/>
  </r>
  <r>
    <x v="2"/>
    <m/>
    <s v="Realizar a alteração de um produto cadastrado"/>
    <x v="0"/>
    <s v="MANÉZINHO"/>
    <x v="2"/>
    <x v="0"/>
  </r>
  <r>
    <x v="0"/>
    <m/>
    <s v="Realizar a alteração de um produto cadastrado"/>
    <x v="1"/>
    <s v="MARIAZINHA"/>
    <x v="3"/>
    <x v="0"/>
  </r>
  <r>
    <x v="1"/>
    <m/>
    <s v="Realizar a alteração de um produto cadastrado"/>
    <x v="2"/>
    <s v="JOÃOZINHO"/>
    <x v="0"/>
    <x v="0"/>
  </r>
  <r>
    <x v="2"/>
    <m/>
    <s v="Realizar a alteração de um produto cadastrado"/>
    <x v="3"/>
    <s v="FULANINHO"/>
    <x v="1"/>
    <x v="0"/>
  </r>
  <r>
    <x v="0"/>
    <m/>
    <s v="Realizar a alteração de um produto cadastrado"/>
    <x v="4"/>
    <s v="MANÉZINHO"/>
    <x v="2"/>
    <x v="0"/>
  </r>
  <r>
    <x v="1"/>
    <m/>
    <s v="Realizar a alteração de um produto cadastrado"/>
    <x v="0"/>
    <s v="MARIAZINHA"/>
    <x v="3"/>
    <x v="0"/>
  </r>
  <r>
    <x v="2"/>
    <m/>
    <s v="Realizar a alteração de um produto cadastrado"/>
    <x v="1"/>
    <s v="JOÃOZINHO"/>
    <x v="0"/>
    <x v="0"/>
  </r>
  <r>
    <x v="0"/>
    <m/>
    <s v="Realizar a alteração de um produto cadastrado"/>
    <x v="2"/>
    <s v="FULANINHO"/>
    <x v="1"/>
    <x v="0"/>
  </r>
  <r>
    <x v="1"/>
    <m/>
    <s v="Realizar a alteração de um produto cadastrado"/>
    <x v="3"/>
    <s v="MANÉZINHO"/>
    <x v="2"/>
    <x v="5"/>
  </r>
  <r>
    <x v="2"/>
    <m/>
    <s v="Realizar a alteração de um produto cadastrado"/>
    <x v="4"/>
    <s v="MARIAZINHA"/>
    <x v="3"/>
    <x v="0"/>
  </r>
  <r>
    <x v="0"/>
    <m/>
    <s v="Realizar a alteração de um produto cadastrado"/>
    <x v="0"/>
    <s v="JOÃOZINHO"/>
    <x v="0"/>
    <x v="0"/>
  </r>
  <r>
    <x v="1"/>
    <m/>
    <s v="Realizar a alteração de um produto cadastrado"/>
    <x v="1"/>
    <s v="FULANINHO"/>
    <x v="1"/>
    <x v="0"/>
  </r>
  <r>
    <x v="2"/>
    <m/>
    <s v="Realizar a alteração de um produto cadastrado"/>
    <x v="2"/>
    <s v="MANÉZINHO"/>
    <x v="2"/>
    <x v="4"/>
  </r>
  <r>
    <x v="0"/>
    <m/>
    <s v="Realizar a alteração de um produto cadastrado"/>
    <x v="3"/>
    <s v="MARIAZINHA"/>
    <x v="3"/>
    <x v="0"/>
  </r>
  <r>
    <x v="1"/>
    <m/>
    <s v="Realizar a alteração de um produto cadastrado"/>
    <x v="4"/>
    <s v="JOÃOZINHO"/>
    <x v="0"/>
    <x v="0"/>
  </r>
  <r>
    <x v="2"/>
    <m/>
    <s v="Realizar a alteração de um produto cadastrado"/>
    <x v="0"/>
    <s v="FULANINHO"/>
    <x v="1"/>
    <x v="0"/>
  </r>
  <r>
    <x v="0"/>
    <m/>
    <s v="Realizar a alteração de um produto cadastrado"/>
    <x v="1"/>
    <s v="MANÉZINHO"/>
    <x v="2"/>
    <x v="2"/>
  </r>
  <r>
    <x v="1"/>
    <m/>
    <s v="Realizar a alteração de um produto cadastrado"/>
    <x v="2"/>
    <s v="MARIAZINHA"/>
    <x v="3"/>
    <x v="3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0"/>
    <s v="MANÉZINHO"/>
    <x v="2"/>
    <x v="0"/>
  </r>
  <r>
    <x v="2"/>
    <m/>
    <s v="Realizar a alteração de um produto cadastrado"/>
    <x v="1"/>
    <s v="MARIAZINHA"/>
    <x v="3"/>
    <x v="4"/>
  </r>
  <r>
    <x v="0"/>
    <m/>
    <s v="Realizar a alteração de um produto cadastrado"/>
    <x v="2"/>
    <s v="JOÃOZINHO"/>
    <x v="0"/>
    <x v="0"/>
  </r>
  <r>
    <x v="1"/>
    <m/>
    <s v="Realizar a alteração de um produto cadastrado"/>
    <x v="3"/>
    <s v="FULANINHO"/>
    <x v="1"/>
    <x v="0"/>
  </r>
  <r>
    <x v="2"/>
    <m/>
    <s v="Realizar a alteração de um produto cadastrado"/>
    <x v="4"/>
    <s v="MANÉZINHO"/>
    <x v="2"/>
    <x v="0"/>
  </r>
  <r>
    <x v="0"/>
    <m/>
    <s v="Realizar a alteração de um produto cadastrado"/>
    <x v="0"/>
    <s v="MARIAZINHA"/>
    <x v="3"/>
    <x v="0"/>
  </r>
  <r>
    <x v="1"/>
    <m/>
    <s v="Realizar a alteração de um produto cadastrado"/>
    <x v="1"/>
    <s v="JOÃOZINHO"/>
    <x v="0"/>
    <x v="0"/>
  </r>
  <r>
    <x v="2"/>
    <m/>
    <s v="Realizar a alteração de um produto cadastrado"/>
    <x v="2"/>
    <s v="FULANINHO"/>
    <x v="1"/>
    <x v="0"/>
  </r>
  <r>
    <x v="0"/>
    <m/>
    <s v="Realizar a alteração de um produto cadastrado"/>
    <x v="3"/>
    <s v="MANÉZINHO"/>
    <x v="2"/>
    <x v="2"/>
  </r>
  <r>
    <x v="1"/>
    <m/>
    <s v="Realizar a alteração de um produto cadastrado"/>
    <x v="4"/>
    <s v="MARIAZINHA"/>
    <x v="3"/>
    <x v="0"/>
  </r>
  <r>
    <x v="2"/>
    <m/>
    <s v="Realizar a alteração de um produto cadastrado"/>
    <x v="0"/>
    <s v="JOÃOZINHO"/>
    <x v="0"/>
    <x v="0"/>
  </r>
  <r>
    <x v="0"/>
    <m/>
    <s v="Realizar a alteração de um produto cadastrado"/>
    <x v="1"/>
    <s v="FULANINHO"/>
    <x v="1"/>
    <x v="0"/>
  </r>
  <r>
    <x v="1"/>
    <m/>
    <s v="Realizar a alteração de um produto cadastrado"/>
    <x v="2"/>
    <s v="MANÉZINHO"/>
    <x v="2"/>
    <x v="5"/>
  </r>
  <r>
    <x v="2"/>
    <m/>
    <s v="Realizar a alteração de um produto cadastrado"/>
    <x v="3"/>
    <s v="MARIAZINHA"/>
    <x v="3"/>
    <x v="4"/>
  </r>
  <r>
    <x v="0"/>
    <m/>
    <s v="Realizar a alteração de um produto cadastrado"/>
    <x v="4"/>
    <s v="JOÃOZINHO"/>
    <x v="0"/>
    <x v="0"/>
  </r>
  <r>
    <x v="1"/>
    <m/>
    <s v="Realizar a alteração de um produto cadastrado"/>
    <x v="0"/>
    <s v="FULANINHO"/>
    <x v="1"/>
    <x v="0"/>
  </r>
  <r>
    <x v="2"/>
    <m/>
    <s v="Realizar a alteração de um produto cadastrado"/>
    <x v="1"/>
    <s v="MANÉZINHO"/>
    <x v="2"/>
    <x v="4"/>
  </r>
  <r>
    <x v="0"/>
    <m/>
    <s v="Realizar a alteração de um produto cadastrado"/>
    <x v="2"/>
    <s v="MARIAZINHA"/>
    <x v="3"/>
    <x v="0"/>
  </r>
  <r>
    <x v="1"/>
    <m/>
    <s v="Realizar a alteração de um produto cadastrado"/>
    <x v="3"/>
    <s v="JOÃOZINHO"/>
    <x v="0"/>
    <x v="0"/>
  </r>
  <r>
    <x v="2"/>
    <m/>
    <s v="Realizar a alteração de um produto cadastrado"/>
    <x v="4"/>
    <s v="FULANINHO"/>
    <x v="1"/>
    <x v="0"/>
  </r>
  <r>
    <x v="0"/>
    <m/>
    <s v="Realizar a alteração de um produto cadastrado"/>
    <x v="0"/>
    <s v="MANÉZINHO"/>
    <x v="2"/>
    <x v="0"/>
  </r>
  <r>
    <x v="1"/>
    <m/>
    <s v="Realizar a alteração de um produto cadastrado"/>
    <x v="1"/>
    <s v="MARIAZINHA"/>
    <x v="3"/>
    <x v="3"/>
  </r>
  <r>
    <x v="2"/>
    <m/>
    <s v="Realizar a alteração de um produto cadastrado"/>
    <x v="2"/>
    <s v="JOÃOZINHO"/>
    <x v="0"/>
    <x v="0"/>
  </r>
  <r>
    <x v="0"/>
    <m/>
    <s v="Realizar a alteração de um produto cadastrado"/>
    <x v="3"/>
    <s v="FULANINHO"/>
    <x v="1"/>
    <x v="0"/>
  </r>
  <r>
    <x v="1"/>
    <m/>
    <s v="Realizar a alteração de um produto cadastrado"/>
    <x v="4"/>
    <s v="MANÉZINHO"/>
    <x v="2"/>
    <x v="0"/>
  </r>
  <r>
    <x v="2"/>
    <m/>
    <s v="Realizar a alteração de um produto cadastrado"/>
    <x v="0"/>
    <s v="MARIAZINHA"/>
    <x v="3"/>
    <x v="0"/>
  </r>
  <r>
    <x v="0"/>
    <m/>
    <s v="Realizar a alteração de um produto cadastrado"/>
    <x v="1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4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2"/>
  </r>
  <r>
    <x v="1"/>
    <m/>
    <s v="Realizar a alteração de um produto cadastrado"/>
    <x v="3"/>
    <s v="MARIAZINHA"/>
    <x v="3"/>
    <x v="3"/>
  </r>
  <r>
    <x v="2"/>
    <m/>
    <s v="Realizar a alteração de um produto cadastrado"/>
    <x v="4"/>
    <s v="JOÃOZINHO"/>
    <x v="0"/>
    <x v="0"/>
  </r>
  <r>
    <x v="0"/>
    <m/>
    <s v="Realizar a alteração de um produto cadastrado"/>
    <x v="0"/>
    <s v="FULANINHO"/>
    <x v="1"/>
    <x v="0"/>
  </r>
  <r>
    <x v="1"/>
    <m/>
    <s v="Realizar a alteração de um produto cadastrado"/>
    <x v="1"/>
    <s v="MANÉZINHO"/>
    <x v="2"/>
    <x v="5"/>
  </r>
  <r>
    <x v="2"/>
    <m/>
    <s v="Realizar a alteração de um produto cadastrado"/>
    <x v="2"/>
    <s v="MARIAZINHA"/>
    <x v="3"/>
    <x v="4"/>
  </r>
  <r>
    <x v="0"/>
    <m/>
    <s v="Realizar a alteração de um produto cadastrado"/>
    <x v="3"/>
    <s v="JOÃOZINHO"/>
    <x v="0"/>
    <x v="0"/>
  </r>
  <r>
    <x v="1"/>
    <m/>
    <s v="Realizar a alteração de um produto cadastrado"/>
    <x v="4"/>
    <s v="FULANINHO"/>
    <x v="1"/>
    <x v="0"/>
  </r>
  <r>
    <x v="2"/>
    <m/>
    <s v="Realizar a alteração de um produto cadastrado"/>
    <x v="0"/>
    <s v="MANÉZINHO"/>
    <x v="2"/>
    <x v="0"/>
  </r>
  <r>
    <x v="0"/>
    <m/>
    <s v="Realizar a alteração de um produto cadastrado"/>
    <x v="1"/>
    <s v="MARIAZINHA"/>
    <x v="3"/>
    <x v="0"/>
  </r>
  <r>
    <x v="1"/>
    <m/>
    <s v="Realizar a alteração de um produto cadastrado"/>
    <x v="2"/>
    <s v="JOÃOZINHO"/>
    <x v="0"/>
    <x v="0"/>
  </r>
  <r>
    <x v="2"/>
    <m/>
    <s v="Realizar a alteração de um produto cadastrado"/>
    <x v="3"/>
    <s v="FULANINHO"/>
    <x v="1"/>
    <x v="0"/>
  </r>
  <r>
    <x v="0"/>
    <m/>
    <s v="Realizar a alteração de um produto cadastrado"/>
    <x v="4"/>
    <s v="MANÉZINHO"/>
    <x v="2"/>
    <x v="0"/>
  </r>
  <r>
    <x v="1"/>
    <m/>
    <s v="Realizar a alteração de um produto cadastrado"/>
    <x v="0"/>
    <s v="MARIAZINHA"/>
    <x v="3"/>
    <x v="0"/>
  </r>
  <r>
    <x v="2"/>
    <m/>
    <s v="Realizar a alteração de um produto cadastrado"/>
    <x v="1"/>
    <s v="JOÃOZINHO"/>
    <x v="0"/>
    <x v="0"/>
  </r>
  <r>
    <x v="0"/>
    <m/>
    <s v="Realizar a alteração de um produto cadastrado"/>
    <x v="2"/>
    <s v="FULANINHO"/>
    <x v="1"/>
    <x v="0"/>
  </r>
  <r>
    <x v="1"/>
    <m/>
    <s v="Realizar a alteração de um produto cadastrado"/>
    <x v="3"/>
    <s v="MANÉZINHO"/>
    <x v="2"/>
    <x v="5"/>
  </r>
  <r>
    <x v="2"/>
    <m/>
    <s v="Realizar a alteração de um produto cadastrado"/>
    <x v="4"/>
    <s v="MARIAZINHA"/>
    <x v="3"/>
    <x v="0"/>
  </r>
  <r>
    <x v="0"/>
    <m/>
    <s v="Realizar a alteração de um produto cadastrado"/>
    <x v="0"/>
    <s v="JOÃOZINHO"/>
    <x v="0"/>
    <x v="0"/>
  </r>
  <r>
    <x v="1"/>
    <m/>
    <s v="Realizar a alteração de um produto cadastrado"/>
    <x v="1"/>
    <s v="FULANINHO"/>
    <x v="1"/>
    <x v="0"/>
  </r>
  <r>
    <x v="2"/>
    <m/>
    <s v="Realizar a alteração de um produto cadastrado"/>
    <x v="2"/>
    <s v="MANÉZINHO"/>
    <x v="2"/>
    <x v="4"/>
  </r>
  <r>
    <x v="0"/>
    <m/>
    <s v="Realizar a alteração de um produto cadastrado"/>
    <x v="3"/>
    <s v="MARIAZINHA"/>
    <x v="3"/>
    <x v="0"/>
  </r>
  <r>
    <x v="1"/>
    <m/>
    <s v="Realizar a alteração de um produto cadastrado"/>
    <x v="4"/>
    <s v="JOÃOZINHO"/>
    <x v="0"/>
    <x v="0"/>
  </r>
  <r>
    <x v="2"/>
    <m/>
    <s v="Realizar a alteração de um produto cadastrado"/>
    <x v="0"/>
    <s v="FULANINHO"/>
    <x v="1"/>
    <x v="0"/>
  </r>
  <r>
    <x v="0"/>
    <m/>
    <s v="Realizar a alteração de um produto cadastrado"/>
    <x v="1"/>
    <s v="MANÉZINHO"/>
    <x v="2"/>
    <x v="2"/>
  </r>
  <r>
    <x v="1"/>
    <m/>
    <s v="Realizar a alteração de um produto cadastrado"/>
    <x v="2"/>
    <s v="MARIAZINHA"/>
    <x v="3"/>
    <x v="3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0"/>
    <s v="MANÉZINHO"/>
    <x v="2"/>
    <x v="0"/>
  </r>
  <r>
    <x v="2"/>
    <m/>
    <s v="Realizar a alteração de um produto cadastrado"/>
    <x v="1"/>
    <s v="MARIAZINHA"/>
    <x v="3"/>
    <x v="4"/>
  </r>
  <r>
    <x v="0"/>
    <m/>
    <s v="Realizar a alteração de um produto cadastrado"/>
    <x v="2"/>
    <s v="JOÃOZINHO"/>
    <x v="0"/>
    <x v="0"/>
  </r>
  <r>
    <x v="1"/>
    <m/>
    <s v="Realizar a alteração de um produto cadastrado"/>
    <x v="3"/>
    <s v="FULANINHO"/>
    <x v="1"/>
    <x v="0"/>
  </r>
  <r>
    <x v="2"/>
    <m/>
    <s v="Realizar a alteração de um produto cadastrado"/>
    <x v="4"/>
    <s v="MANÉZINHO"/>
    <x v="2"/>
    <x v="0"/>
  </r>
  <r>
    <x v="0"/>
    <m/>
    <s v="Realizar a alteração de um produto cadastrado"/>
    <x v="0"/>
    <s v="MARIAZINHA"/>
    <x v="3"/>
    <x v="0"/>
  </r>
  <r>
    <x v="1"/>
    <m/>
    <s v="Realizar a alteração de um produto cadastrado"/>
    <x v="1"/>
    <s v="JOÃOZINHO"/>
    <x v="0"/>
    <x v="0"/>
  </r>
  <r>
    <x v="2"/>
    <m/>
    <s v="Realizar a alteração de um produto cadastrado"/>
    <x v="2"/>
    <s v="FULANINHO"/>
    <x v="1"/>
    <x v="0"/>
  </r>
  <r>
    <x v="0"/>
    <m/>
    <s v="Realizar a alteração de um produto cadastrado"/>
    <x v="3"/>
    <s v="MANÉZINHO"/>
    <x v="2"/>
    <x v="2"/>
  </r>
  <r>
    <x v="1"/>
    <m/>
    <s v="Realizar a alteração de um produto cadastrado"/>
    <x v="4"/>
    <s v="MARIAZINHA"/>
    <x v="3"/>
    <x v="0"/>
  </r>
  <r>
    <x v="2"/>
    <m/>
    <s v="Realizar a alteração de um produto cadastrado"/>
    <x v="0"/>
    <s v="JOÃOZINHO"/>
    <x v="0"/>
    <x v="0"/>
  </r>
  <r>
    <x v="0"/>
    <m/>
    <s v="Realizar a alteração de um produto cadastrado"/>
    <x v="1"/>
    <s v="FULANINHO"/>
    <x v="1"/>
    <x v="0"/>
  </r>
  <r>
    <x v="1"/>
    <m/>
    <s v="Realizar a alteração de um produto cadastrado"/>
    <x v="2"/>
    <s v="MANÉZINHO"/>
    <x v="2"/>
    <x v="5"/>
  </r>
  <r>
    <x v="2"/>
    <m/>
    <s v="Realizar a alteração de um produto cadastrado"/>
    <x v="3"/>
    <s v="MARIAZINHA"/>
    <x v="3"/>
    <x v="4"/>
  </r>
  <r>
    <x v="0"/>
    <m/>
    <s v="Realizar a alteração de um produto cadastrado"/>
    <x v="4"/>
    <s v="JOÃOZINHO"/>
    <x v="0"/>
    <x v="0"/>
  </r>
  <r>
    <x v="1"/>
    <m/>
    <s v="Realizar a alteração de um produto cadastrado"/>
    <x v="0"/>
    <s v="FULANINHO"/>
    <x v="1"/>
    <x v="0"/>
  </r>
  <r>
    <x v="2"/>
    <m/>
    <s v="Realizar a alteração de um produto cadastrado"/>
    <x v="1"/>
    <s v="MANÉZINHO"/>
    <x v="2"/>
    <x v="4"/>
  </r>
  <r>
    <x v="0"/>
    <m/>
    <s v="Realizar a alteração de um produto cadastrado"/>
    <x v="2"/>
    <s v="MARIAZINHA"/>
    <x v="3"/>
    <x v="0"/>
  </r>
  <r>
    <x v="1"/>
    <m/>
    <s v="Realizar a alteração de um produto cadastrado"/>
    <x v="3"/>
    <s v="JOÃOZINHO"/>
    <x v="0"/>
    <x v="0"/>
  </r>
  <r>
    <x v="2"/>
    <m/>
    <s v="Realizar a alteração de um produto cadastrado"/>
    <x v="4"/>
    <s v="FULANINHO"/>
    <x v="1"/>
    <x v="0"/>
  </r>
  <r>
    <x v="0"/>
    <m/>
    <s v="Realizar a alteração de um produto cadastrado"/>
    <x v="0"/>
    <s v="MANÉZINHO"/>
    <x v="2"/>
    <x v="0"/>
  </r>
  <r>
    <x v="1"/>
    <m/>
    <s v="Realizar a alteração de um produto cadastrado"/>
    <x v="1"/>
    <s v="MARIAZINHA"/>
    <x v="3"/>
    <x v="3"/>
  </r>
  <r>
    <x v="2"/>
    <m/>
    <s v="Realizar a alteração de um produto cadastrado"/>
    <x v="2"/>
    <s v="JOÃOZINHO"/>
    <x v="0"/>
    <x v="0"/>
  </r>
  <r>
    <x v="0"/>
    <m/>
    <s v="Realizar a alteração de um produto cadastrado"/>
    <x v="3"/>
    <s v="FULANINHO"/>
    <x v="1"/>
    <x v="0"/>
  </r>
  <r>
    <x v="1"/>
    <m/>
    <s v="Realizar a alteração de um produto cadastrado"/>
    <x v="4"/>
    <s v="MANÉZINHO"/>
    <x v="2"/>
    <x v="0"/>
  </r>
  <r>
    <x v="2"/>
    <m/>
    <s v="Realizar a alteração de um produto cadastrado"/>
    <x v="0"/>
    <s v="MARIAZINHA"/>
    <x v="3"/>
    <x v="0"/>
  </r>
  <r>
    <x v="0"/>
    <m/>
    <s v="Realizar a alteração de um produto cadastrado"/>
    <x v="1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4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2"/>
  </r>
  <r>
    <x v="1"/>
    <m/>
    <s v="Realizar a alteração de um produto cadastrado"/>
    <x v="3"/>
    <s v="MARIAZINHA"/>
    <x v="3"/>
    <x v="3"/>
  </r>
  <r>
    <x v="2"/>
    <m/>
    <s v="Realizar a alteração de um produto cadastrado"/>
    <x v="4"/>
    <s v="JOÃOZINHO"/>
    <x v="0"/>
    <x v="0"/>
  </r>
  <r>
    <x v="0"/>
    <m/>
    <s v="Realizar a alteração de um produto cadastrado"/>
    <x v="0"/>
    <s v="FULANINHO"/>
    <x v="1"/>
    <x v="0"/>
  </r>
  <r>
    <x v="1"/>
    <m/>
    <s v="Realizar a alteração de um produto cadastrado"/>
    <x v="1"/>
    <s v="MANÉZINHO"/>
    <x v="2"/>
    <x v="5"/>
  </r>
  <r>
    <x v="2"/>
    <m/>
    <s v="Realizar a alteração de um produto cadastrado"/>
    <x v="2"/>
    <s v="MARIAZINHA"/>
    <x v="3"/>
    <x v="4"/>
  </r>
  <r>
    <x v="0"/>
    <m/>
    <s v="Realizar a alteração de um produto cadastrado"/>
    <x v="3"/>
    <s v="JOÃOZINHO"/>
    <x v="0"/>
    <x v="0"/>
  </r>
  <r>
    <x v="1"/>
    <m/>
    <s v="Realizar a alteração de um produto cadastrado"/>
    <x v="4"/>
    <s v="FULANINHO"/>
    <x v="1"/>
    <x v="0"/>
  </r>
  <r>
    <x v="2"/>
    <m/>
    <s v="Realizar a alteração de um produto cadastrado"/>
    <x v="0"/>
    <s v="MANÉZINHO"/>
    <x v="2"/>
    <x v="0"/>
  </r>
  <r>
    <x v="0"/>
    <m/>
    <s v="Realizar a alteração de um produto cadastrado"/>
    <x v="1"/>
    <s v="MARIAZINHA"/>
    <x v="3"/>
    <x v="0"/>
  </r>
  <r>
    <x v="1"/>
    <m/>
    <s v="Realizar a alteração de um produto cadastrado"/>
    <x v="2"/>
    <s v="JOÃOZINHO"/>
    <x v="0"/>
    <x v="0"/>
  </r>
  <r>
    <x v="2"/>
    <m/>
    <s v="Realizar a alteração de um produto cadastrado"/>
    <x v="3"/>
    <s v="FULANINHO"/>
    <x v="1"/>
    <x v="0"/>
  </r>
  <r>
    <x v="0"/>
    <m/>
    <s v="Realizar a alteração de um produto cadastrado"/>
    <x v="4"/>
    <s v="MANÉZINHO"/>
    <x v="2"/>
    <x v="0"/>
  </r>
  <r>
    <x v="1"/>
    <m/>
    <s v="Realizar a alteração de um produto cadastrado"/>
    <x v="0"/>
    <s v="MARIAZINHA"/>
    <x v="3"/>
    <x v="0"/>
  </r>
  <r>
    <x v="2"/>
    <m/>
    <s v="Realizar a alteração de um produto cadastrado"/>
    <x v="1"/>
    <s v="JOÃOZINHO"/>
    <x v="0"/>
    <x v="0"/>
  </r>
  <r>
    <x v="0"/>
    <m/>
    <s v="Realizar a alteração de um produto cadastrado"/>
    <x v="2"/>
    <s v="FULANINHO"/>
    <x v="1"/>
    <x v="0"/>
  </r>
  <r>
    <x v="1"/>
    <m/>
    <s v="Realizar a alteração de um produto cadastrado"/>
    <x v="3"/>
    <s v="MANÉZINHO"/>
    <x v="2"/>
    <x v="5"/>
  </r>
  <r>
    <x v="2"/>
    <m/>
    <s v="Realizar a alteração de um produto cadastrado"/>
    <x v="4"/>
    <s v="MARIAZINHA"/>
    <x v="3"/>
    <x v="0"/>
  </r>
  <r>
    <x v="0"/>
    <m/>
    <s v="Realizar a alteração de um produto cadastrado"/>
    <x v="0"/>
    <s v="JOÃOZINHO"/>
    <x v="0"/>
    <x v="0"/>
  </r>
  <r>
    <x v="1"/>
    <m/>
    <s v="Realizar a alteração de um produto cadastrado"/>
    <x v="1"/>
    <s v="FULANINHO"/>
    <x v="1"/>
    <x v="0"/>
  </r>
  <r>
    <x v="2"/>
    <m/>
    <s v="Realizar a alteração de um produto cadastrado"/>
    <x v="2"/>
    <s v="MANÉZINHO"/>
    <x v="2"/>
    <x v="4"/>
  </r>
  <r>
    <x v="0"/>
    <m/>
    <s v="Realizar a alteração de um produto cadastrado"/>
    <x v="3"/>
    <s v="MARIAZINHA"/>
    <x v="3"/>
    <x v="0"/>
  </r>
  <r>
    <x v="1"/>
    <m/>
    <s v="Realizar a alteração de um produto cadastrado"/>
    <x v="4"/>
    <s v="JOÃOZINHO"/>
    <x v="0"/>
    <x v="0"/>
  </r>
  <r>
    <x v="2"/>
    <m/>
    <s v="Realizar a alteração de um produto cadastrado"/>
    <x v="0"/>
    <s v="FULANINHO"/>
    <x v="1"/>
    <x v="0"/>
  </r>
  <r>
    <x v="0"/>
    <m/>
    <s v="Realizar a alteração de um produto cadastrado"/>
    <x v="1"/>
    <s v="MANÉZINHO"/>
    <x v="2"/>
    <x v="2"/>
  </r>
  <r>
    <x v="1"/>
    <m/>
    <s v="Realizar a alteração de um produto cadastrado"/>
    <x v="2"/>
    <s v="MARIAZINHA"/>
    <x v="3"/>
    <x v="3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0"/>
    <s v="MANÉZINHO"/>
    <x v="2"/>
    <x v="0"/>
  </r>
  <r>
    <x v="2"/>
    <m/>
    <s v="Realizar a alteração de um produto cadastrado"/>
    <x v="1"/>
    <s v="MARIAZINHA"/>
    <x v="3"/>
    <x v="4"/>
  </r>
  <r>
    <x v="0"/>
    <m/>
    <s v="Realizar a alteração de um produto cadastrado"/>
    <x v="2"/>
    <s v="JOÃOZINHO"/>
    <x v="0"/>
    <x v="0"/>
  </r>
  <r>
    <x v="1"/>
    <m/>
    <s v="Realizar a alteração de um produto cadastrado"/>
    <x v="3"/>
    <s v="FULANINHO"/>
    <x v="1"/>
    <x v="0"/>
  </r>
  <r>
    <x v="2"/>
    <m/>
    <s v="Realizar a alteração de um produto cadastrado"/>
    <x v="4"/>
    <s v="MANÉZINHO"/>
    <x v="2"/>
    <x v="0"/>
  </r>
  <r>
    <x v="0"/>
    <m/>
    <s v="Realizar a alteração de um produto cadastrado"/>
    <x v="0"/>
    <s v="MARIAZINHA"/>
    <x v="3"/>
    <x v="0"/>
  </r>
  <r>
    <x v="1"/>
    <m/>
    <s v="Realizar a alteração de um produto cadastrado"/>
    <x v="1"/>
    <s v="JOÃOZINHO"/>
    <x v="0"/>
    <x v="0"/>
  </r>
  <r>
    <x v="2"/>
    <m/>
    <s v="Realizar a alteração de um produto cadastrado"/>
    <x v="2"/>
    <s v="FULANINHO"/>
    <x v="1"/>
    <x v="0"/>
  </r>
  <r>
    <x v="0"/>
    <m/>
    <s v="Realizar a alteração de um produto cadastrado"/>
    <x v="3"/>
    <s v="MANÉZINHO"/>
    <x v="2"/>
    <x v="2"/>
  </r>
  <r>
    <x v="1"/>
    <m/>
    <s v="Realizar a alteração de um produto cadastrado"/>
    <x v="4"/>
    <s v="MARIAZINHA"/>
    <x v="3"/>
    <x v="0"/>
  </r>
  <r>
    <x v="2"/>
    <m/>
    <s v="Realizar a alteração de um produto cadastrado"/>
    <x v="0"/>
    <s v="JOÃOZINHO"/>
    <x v="0"/>
    <x v="0"/>
  </r>
  <r>
    <x v="0"/>
    <m/>
    <s v="Realizar a alteração de um produto cadastrado"/>
    <x v="1"/>
    <s v="FULANINHO"/>
    <x v="1"/>
    <x v="0"/>
  </r>
  <r>
    <x v="1"/>
    <m/>
    <s v="Realizar a alteração de um produto cadastrado"/>
    <x v="2"/>
    <s v="MANÉZINHO"/>
    <x v="2"/>
    <x v="5"/>
  </r>
  <r>
    <x v="2"/>
    <m/>
    <s v="Realizar a alteração de um produto cadastrado"/>
    <x v="3"/>
    <s v="MARIAZINHA"/>
    <x v="3"/>
    <x v="4"/>
  </r>
  <r>
    <x v="0"/>
    <m/>
    <s v="Realizar a alteração de um produto cadastrado"/>
    <x v="4"/>
    <s v="JOÃOZINHO"/>
    <x v="0"/>
    <x v="0"/>
  </r>
  <r>
    <x v="1"/>
    <m/>
    <s v="Realizar a alteração de um produto cadastrado"/>
    <x v="0"/>
    <s v="FULANINHO"/>
    <x v="1"/>
    <x v="0"/>
  </r>
  <r>
    <x v="2"/>
    <m/>
    <s v="Realizar a alteração de um produto cadastrado"/>
    <x v="1"/>
    <s v="MANÉZINHO"/>
    <x v="2"/>
    <x v="4"/>
  </r>
  <r>
    <x v="0"/>
    <m/>
    <s v="Realizar a alteração de um produto cadastrado"/>
    <x v="2"/>
    <s v="MARIAZINHA"/>
    <x v="3"/>
    <x v="0"/>
  </r>
  <r>
    <x v="1"/>
    <m/>
    <s v="Realizar a alteração de um produto cadastrado"/>
    <x v="3"/>
    <s v="JOÃOZINHO"/>
    <x v="0"/>
    <x v="0"/>
  </r>
  <r>
    <x v="2"/>
    <m/>
    <s v="Realizar a alteração de um produto cadastrado"/>
    <x v="4"/>
    <s v="FULANINHO"/>
    <x v="1"/>
    <x v="0"/>
  </r>
  <r>
    <x v="0"/>
    <m/>
    <s v="Realizar a alteração de um produto cadastrado"/>
    <x v="0"/>
    <s v="MANÉZINHO"/>
    <x v="2"/>
    <x v="0"/>
  </r>
  <r>
    <x v="1"/>
    <m/>
    <s v="Realizar a alteração de um produto cadastrado"/>
    <x v="1"/>
    <s v="MARIAZINHA"/>
    <x v="3"/>
    <x v="3"/>
  </r>
  <r>
    <x v="2"/>
    <m/>
    <s v="Realizar a alteração de um produto cadastrado"/>
    <x v="2"/>
    <s v="JOÃOZINHO"/>
    <x v="0"/>
    <x v="0"/>
  </r>
  <r>
    <x v="0"/>
    <m/>
    <s v="Realizar a alteração de um produto cadastrado"/>
    <x v="3"/>
    <s v="FULANINHO"/>
    <x v="1"/>
    <x v="0"/>
  </r>
  <r>
    <x v="1"/>
    <m/>
    <s v="Realizar a alteração de um produto cadastrado"/>
    <x v="4"/>
    <s v="MANÉZINHO"/>
    <x v="2"/>
    <x v="0"/>
  </r>
  <r>
    <x v="2"/>
    <m/>
    <s v="Realizar a alteração de um produto cadastrado"/>
    <x v="0"/>
    <s v="MARIAZINHA"/>
    <x v="3"/>
    <x v="0"/>
  </r>
  <r>
    <x v="0"/>
    <m/>
    <s v="Realizar a alteração de um produto cadastrado"/>
    <x v="1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4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2"/>
  </r>
  <r>
    <x v="1"/>
    <m/>
    <s v="Realizar a alteração de um produto cadastrado"/>
    <x v="3"/>
    <s v="MARIAZINHA"/>
    <x v="3"/>
    <x v="3"/>
  </r>
  <r>
    <x v="2"/>
    <m/>
    <s v="Realizar a alteração de um produto cadastrado"/>
    <x v="4"/>
    <s v="JOÃOZINHO"/>
    <x v="0"/>
    <x v="0"/>
  </r>
  <r>
    <x v="0"/>
    <m/>
    <s v="Realizar a alteração de um produto cadastrado"/>
    <x v="0"/>
    <s v="FULANINHO"/>
    <x v="1"/>
    <x v="0"/>
  </r>
  <r>
    <x v="1"/>
    <m/>
    <s v="Realizar a alteração de um produto cadastrado"/>
    <x v="1"/>
    <s v="MANÉZINHO"/>
    <x v="2"/>
    <x v="5"/>
  </r>
  <r>
    <x v="2"/>
    <m/>
    <s v="Realizar a alteração de um produto cadastrado"/>
    <x v="2"/>
    <s v="MARIAZINHA"/>
    <x v="3"/>
    <x v="4"/>
  </r>
  <r>
    <x v="0"/>
    <m/>
    <s v="Realizar a alteração de um produto cadastrado"/>
    <x v="3"/>
    <s v="JOÃOZINHO"/>
    <x v="0"/>
    <x v="0"/>
  </r>
  <r>
    <x v="1"/>
    <m/>
    <s v="Realizar a alteração de um produto cadastrado"/>
    <x v="4"/>
    <s v="FULANINHO"/>
    <x v="1"/>
    <x v="0"/>
  </r>
  <r>
    <x v="2"/>
    <m/>
    <s v="Realizar a alteração de um produto cadastrado"/>
    <x v="0"/>
    <s v="MANÉZINHO"/>
    <x v="2"/>
    <x v="0"/>
  </r>
  <r>
    <x v="0"/>
    <m/>
    <s v="Realizar a alteração de um produto cadastrado"/>
    <x v="1"/>
    <s v="MARIAZINHA"/>
    <x v="3"/>
    <x v="0"/>
  </r>
  <r>
    <x v="1"/>
    <m/>
    <s v="Realizar a alteração de um produto cadastrado"/>
    <x v="2"/>
    <s v="JOÃOZINHO"/>
    <x v="0"/>
    <x v="0"/>
  </r>
  <r>
    <x v="2"/>
    <m/>
    <s v="Realizar a alteração de um produto cadastrado"/>
    <x v="3"/>
    <s v="FULANINHO"/>
    <x v="1"/>
    <x v="0"/>
  </r>
  <r>
    <x v="0"/>
    <m/>
    <s v="Realizar a alteração de um produto cadastrado"/>
    <x v="4"/>
    <s v="MANÉZINHO"/>
    <x v="2"/>
    <x v="0"/>
  </r>
  <r>
    <x v="1"/>
    <m/>
    <s v="Realizar a alteração de um produto cadastrado"/>
    <x v="0"/>
    <s v="MARIAZINHA"/>
    <x v="3"/>
    <x v="0"/>
  </r>
  <r>
    <x v="2"/>
    <m/>
    <s v="Realizar a alteração de um produto cadastrado"/>
    <x v="1"/>
    <s v="JOÃOZINHO"/>
    <x v="0"/>
    <x v="0"/>
  </r>
  <r>
    <x v="0"/>
    <m/>
    <s v="Realizar a alteração de um produto cadastrado"/>
    <x v="2"/>
    <s v="FULANINHO"/>
    <x v="1"/>
    <x v="0"/>
  </r>
  <r>
    <x v="1"/>
    <m/>
    <s v="Realizar a alteração de um produto cadastrado"/>
    <x v="3"/>
    <s v="MANÉZINHO"/>
    <x v="2"/>
    <x v="5"/>
  </r>
  <r>
    <x v="2"/>
    <m/>
    <s v="Realizar a alteração de um produto cadastrado"/>
    <x v="4"/>
    <s v="MARIAZINHA"/>
    <x v="3"/>
    <x v="0"/>
  </r>
  <r>
    <x v="0"/>
    <m/>
    <s v="Realizar a alteração de um produto cadastrado"/>
    <x v="0"/>
    <s v="JOÃOZINHO"/>
    <x v="0"/>
    <x v="0"/>
  </r>
  <r>
    <x v="1"/>
    <m/>
    <s v="Realizar a alteração de um produto cadastrado"/>
    <x v="1"/>
    <s v="FULANINHO"/>
    <x v="1"/>
    <x v="0"/>
  </r>
  <r>
    <x v="2"/>
    <m/>
    <s v="Realizar a alteração de um produto cadastrado"/>
    <x v="2"/>
    <s v="MANÉZINHO"/>
    <x v="2"/>
    <x v="4"/>
  </r>
  <r>
    <x v="0"/>
    <m/>
    <s v="Realizar a alteração de um produto cadastrado"/>
    <x v="3"/>
    <s v="MARIAZINHA"/>
    <x v="3"/>
    <x v="0"/>
  </r>
  <r>
    <x v="1"/>
    <m/>
    <s v="Realizar a alteração de um produto cadastrado"/>
    <x v="4"/>
    <s v="JOÃOZINHO"/>
    <x v="0"/>
    <x v="0"/>
  </r>
  <r>
    <x v="2"/>
    <m/>
    <s v="Realizar a alteração de um produto cadastrado"/>
    <x v="0"/>
    <s v="FULANINHO"/>
    <x v="1"/>
    <x v="0"/>
  </r>
  <r>
    <x v="0"/>
    <m/>
    <s v="Realizar a alteração de um produto cadastrado"/>
    <x v="1"/>
    <s v="MANÉZINHO"/>
    <x v="2"/>
    <x v="2"/>
  </r>
  <r>
    <x v="1"/>
    <m/>
    <s v="Realizar a alteração de um produto cadastrado"/>
    <x v="2"/>
    <s v="MARIAZINHA"/>
    <x v="3"/>
    <x v="3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0"/>
    <s v="MANÉZINHO"/>
    <x v="2"/>
    <x v="0"/>
  </r>
  <r>
    <x v="2"/>
    <m/>
    <s v="Realizar a alteração de um produto cadastrado"/>
    <x v="1"/>
    <s v="MARIAZINHA"/>
    <x v="3"/>
    <x v="4"/>
  </r>
  <r>
    <x v="0"/>
    <m/>
    <s v="Realizar a alteração de um produto cadastrado"/>
    <x v="2"/>
    <s v="JOÃOZINHO"/>
    <x v="0"/>
    <x v="0"/>
  </r>
  <r>
    <x v="1"/>
    <m/>
    <s v="Realizar a alteração de um produto cadastrado"/>
    <x v="3"/>
    <s v="FULANINHO"/>
    <x v="1"/>
    <x v="0"/>
  </r>
  <r>
    <x v="2"/>
    <m/>
    <s v="Realizar a alteração de um produto cadastrado"/>
    <x v="4"/>
    <s v="MANÉZINHO"/>
    <x v="2"/>
    <x v="0"/>
  </r>
  <r>
    <x v="0"/>
    <m/>
    <s v="Realizar a alteração de um produto cadastrado"/>
    <x v="0"/>
    <s v="MARIAZINHA"/>
    <x v="3"/>
    <x v="0"/>
  </r>
  <r>
    <x v="1"/>
    <m/>
    <s v="Realizar a alteração de um produto cadastrado"/>
    <x v="1"/>
    <s v="JOÃOZINHO"/>
    <x v="0"/>
    <x v="0"/>
  </r>
  <r>
    <x v="2"/>
    <m/>
    <s v="Realizar a alteração de um produto cadastrado"/>
    <x v="2"/>
    <s v="FULANINHO"/>
    <x v="1"/>
    <x v="0"/>
  </r>
  <r>
    <x v="0"/>
    <m/>
    <s v="Realizar a alteração de um produto cadastrado"/>
    <x v="3"/>
    <s v="MANÉZINHO"/>
    <x v="2"/>
    <x v="2"/>
  </r>
  <r>
    <x v="1"/>
    <m/>
    <s v="Realizar a alteração de um produto cadastrado"/>
    <x v="4"/>
    <s v="MARIAZINHA"/>
    <x v="3"/>
    <x v="0"/>
  </r>
  <r>
    <x v="2"/>
    <m/>
    <s v="Realizar a alteração de um produto cadastrado"/>
    <x v="0"/>
    <s v="JOÃOZINHO"/>
    <x v="0"/>
    <x v="0"/>
  </r>
  <r>
    <x v="0"/>
    <m/>
    <s v="Realizar a alteração de um produto cadastrado"/>
    <x v="1"/>
    <s v="FULANINHO"/>
    <x v="1"/>
    <x v="0"/>
  </r>
  <r>
    <x v="1"/>
    <m/>
    <s v="Realizar a alteração de um produto cadastrado"/>
    <x v="2"/>
    <s v="MANÉZINHO"/>
    <x v="2"/>
    <x v="5"/>
  </r>
  <r>
    <x v="2"/>
    <m/>
    <s v="Realizar a alteração de um produto cadastrado"/>
    <x v="3"/>
    <s v="MARIAZINHA"/>
    <x v="3"/>
    <x v="4"/>
  </r>
  <r>
    <x v="0"/>
    <m/>
    <s v="Realizar a alteração de um produto cadastrado"/>
    <x v="4"/>
    <s v="JOÃOZINHO"/>
    <x v="0"/>
    <x v="0"/>
  </r>
  <r>
    <x v="1"/>
    <m/>
    <s v="Realizar a alteração de um produto cadastrado"/>
    <x v="0"/>
    <s v="FULANINHO"/>
    <x v="1"/>
    <x v="0"/>
  </r>
  <r>
    <x v="2"/>
    <m/>
    <s v="Realizar a alteração de um produto cadastrado"/>
    <x v="1"/>
    <s v="MANÉZINHO"/>
    <x v="2"/>
    <x v="4"/>
  </r>
  <r>
    <x v="0"/>
    <m/>
    <s v="Realizar a alteração de um produto cadastrado"/>
    <x v="2"/>
    <s v="MARIAZINHA"/>
    <x v="3"/>
    <x v="0"/>
  </r>
  <r>
    <x v="1"/>
    <m/>
    <s v="Realizar a alteração de um produto cadastrado"/>
    <x v="3"/>
    <s v="JOÃOZINHO"/>
    <x v="0"/>
    <x v="0"/>
  </r>
  <r>
    <x v="2"/>
    <m/>
    <s v="Realizar a alteração de um produto cadastrado"/>
    <x v="4"/>
    <s v="FULANINHO"/>
    <x v="1"/>
    <x v="0"/>
  </r>
  <r>
    <x v="0"/>
    <m/>
    <s v="Realizar a alteração de um produto cadastrado"/>
    <x v="0"/>
    <s v="MANÉZINHO"/>
    <x v="2"/>
    <x v="0"/>
  </r>
  <r>
    <x v="1"/>
    <m/>
    <s v="Realizar a alteração de um produto cadastrado"/>
    <x v="1"/>
    <s v="MARIAZINHA"/>
    <x v="3"/>
    <x v="3"/>
  </r>
  <r>
    <x v="2"/>
    <m/>
    <s v="Realizar a alteração de um produto cadastrado"/>
    <x v="2"/>
    <s v="JOÃOZINHO"/>
    <x v="0"/>
    <x v="0"/>
  </r>
  <r>
    <x v="0"/>
    <m/>
    <s v="Realizar a alteração de um produto cadastrado"/>
    <x v="3"/>
    <s v="FULANINHO"/>
    <x v="1"/>
    <x v="0"/>
  </r>
  <r>
    <x v="1"/>
    <m/>
    <s v="Realizar a alteração de um produto cadastrado"/>
    <x v="4"/>
    <s v="MANÉZINHO"/>
    <x v="2"/>
    <x v="0"/>
  </r>
  <r>
    <x v="2"/>
    <m/>
    <s v="Realizar a alteração de um produto cadastrado"/>
    <x v="0"/>
    <s v="MARIAZINHA"/>
    <x v="3"/>
    <x v="0"/>
  </r>
  <r>
    <x v="0"/>
    <m/>
    <s v="Realizar a alteração de um produto cadastrado"/>
    <x v="1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4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2"/>
  </r>
  <r>
    <x v="1"/>
    <m/>
    <s v="Realizar a alteração de um produto cadastrado"/>
    <x v="3"/>
    <s v="MARIAZINHA"/>
    <x v="3"/>
    <x v="3"/>
  </r>
  <r>
    <x v="2"/>
    <m/>
    <s v="Realizar a alteração de um produto cadastrado"/>
    <x v="4"/>
    <s v="JOÃOZINHO"/>
    <x v="0"/>
    <x v="0"/>
  </r>
  <r>
    <x v="0"/>
    <m/>
    <s v="Realizar a alteração de um produto cadastrado"/>
    <x v="0"/>
    <s v="FULANINHO"/>
    <x v="1"/>
    <x v="0"/>
  </r>
  <r>
    <x v="1"/>
    <m/>
    <s v="Realizar a alteração de um produto cadastrado"/>
    <x v="1"/>
    <s v="MANÉZINHO"/>
    <x v="2"/>
    <x v="5"/>
  </r>
  <r>
    <x v="2"/>
    <m/>
    <s v="Realizar a alteração de um produto cadastrado"/>
    <x v="2"/>
    <s v="MARIAZINHA"/>
    <x v="3"/>
    <x v="4"/>
  </r>
  <r>
    <x v="0"/>
    <m/>
    <s v="Realizar a alteração de um produto cadastrado"/>
    <x v="3"/>
    <s v="JOÃOZINHO"/>
    <x v="0"/>
    <x v="0"/>
  </r>
  <r>
    <x v="1"/>
    <m/>
    <s v="Realizar a alteração de um produto cadastrado"/>
    <x v="4"/>
    <s v="FULANINHO"/>
    <x v="1"/>
    <x v="0"/>
  </r>
  <r>
    <x v="2"/>
    <m/>
    <s v="Realizar a alteração de um produto cadastrado"/>
    <x v="0"/>
    <s v="MANÉZINHO"/>
    <x v="2"/>
    <x v="0"/>
  </r>
  <r>
    <x v="0"/>
    <m/>
    <s v="Realizar a alteração de um produto cadastrado"/>
    <x v="1"/>
    <s v="MARIAZINHA"/>
    <x v="3"/>
    <x v="0"/>
  </r>
  <r>
    <x v="1"/>
    <m/>
    <s v="Realizar a alteração de um produto cadastrado"/>
    <x v="2"/>
    <s v="JOÃOZINHO"/>
    <x v="0"/>
    <x v="0"/>
  </r>
  <r>
    <x v="2"/>
    <m/>
    <s v="Realizar a alteração de um produto cadastrado"/>
    <x v="3"/>
    <s v="FULANINHO"/>
    <x v="1"/>
    <x v="0"/>
  </r>
  <r>
    <x v="0"/>
    <m/>
    <s v="Realizar a alteração de um produto cadastrado"/>
    <x v="4"/>
    <s v="MANÉZINHO"/>
    <x v="2"/>
    <x v="0"/>
  </r>
  <r>
    <x v="1"/>
    <m/>
    <s v="Realizar a alteração de um produto cadastrado"/>
    <x v="0"/>
    <s v="MARIAZINHA"/>
    <x v="3"/>
    <x v="0"/>
  </r>
  <r>
    <x v="2"/>
    <m/>
    <s v="Realizar a alteração de um produto cadastrado"/>
    <x v="1"/>
    <s v="JOÃOZINHO"/>
    <x v="0"/>
    <x v="0"/>
  </r>
  <r>
    <x v="0"/>
    <m/>
    <s v="Realizar a alteração de um produto cadastrado"/>
    <x v="2"/>
    <s v="FULANINHO"/>
    <x v="1"/>
    <x v="0"/>
  </r>
  <r>
    <x v="1"/>
    <m/>
    <s v="Realizar a alteração de um produto cadastrado"/>
    <x v="3"/>
    <s v="MANÉZINHO"/>
    <x v="2"/>
    <x v="5"/>
  </r>
  <r>
    <x v="2"/>
    <m/>
    <s v="Realizar a alteração de um produto cadastrado"/>
    <x v="4"/>
    <s v="MARIAZINHA"/>
    <x v="3"/>
    <x v="0"/>
  </r>
  <r>
    <x v="0"/>
    <m/>
    <s v="Realizar a alteração de um produto cadastrado"/>
    <x v="0"/>
    <s v="JOÃOZINHO"/>
    <x v="0"/>
    <x v="0"/>
  </r>
  <r>
    <x v="1"/>
    <m/>
    <s v="Realizar a alteração de um produto cadastrado"/>
    <x v="1"/>
    <s v="FULANINHO"/>
    <x v="1"/>
    <x v="0"/>
  </r>
  <r>
    <x v="2"/>
    <m/>
    <s v="Realizar a alteração de um produto cadastrado"/>
    <x v="2"/>
    <s v="MANÉZINHO"/>
    <x v="2"/>
    <x v="4"/>
  </r>
  <r>
    <x v="0"/>
    <m/>
    <s v="Realizar a alteração de um produto cadastrado"/>
    <x v="3"/>
    <s v="MARIAZINHA"/>
    <x v="3"/>
    <x v="0"/>
  </r>
  <r>
    <x v="1"/>
    <m/>
    <s v="Realizar a alteração de um produto cadastrado"/>
    <x v="4"/>
    <s v="JOÃOZINHO"/>
    <x v="0"/>
    <x v="0"/>
  </r>
  <r>
    <x v="2"/>
    <m/>
    <s v="Realizar a alteração de um produto cadastrado"/>
    <x v="0"/>
    <s v="FULANINHO"/>
    <x v="1"/>
    <x v="0"/>
  </r>
  <r>
    <x v="0"/>
    <m/>
    <s v="Realizar a alteração de um produto cadastrado"/>
    <x v="1"/>
    <s v="MANÉZINHO"/>
    <x v="2"/>
    <x v="2"/>
  </r>
  <r>
    <x v="1"/>
    <m/>
    <s v="Realizar a alteração de um produto cadastrado"/>
    <x v="2"/>
    <s v="MARIAZINHA"/>
    <x v="3"/>
    <x v="3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0"/>
    <s v="MANÉZINHO"/>
    <x v="2"/>
    <x v="0"/>
  </r>
  <r>
    <x v="2"/>
    <m/>
    <s v="Realizar a alteração de um produto cadastrado"/>
    <x v="1"/>
    <s v="MARIAZINHA"/>
    <x v="3"/>
    <x v="4"/>
  </r>
  <r>
    <x v="0"/>
    <m/>
    <s v="Realizar a alteração de um produto cadastrado"/>
    <x v="2"/>
    <s v="JOÃOZINHO"/>
    <x v="0"/>
    <x v="0"/>
  </r>
  <r>
    <x v="1"/>
    <m/>
    <s v="Realizar a alteração de um produto cadastrado"/>
    <x v="3"/>
    <s v="FULANINHO"/>
    <x v="1"/>
    <x v="0"/>
  </r>
  <r>
    <x v="2"/>
    <m/>
    <s v="Realizar a alteração de um produto cadastrado"/>
    <x v="4"/>
    <s v="MANÉZINHO"/>
    <x v="2"/>
    <x v="0"/>
  </r>
  <r>
    <x v="0"/>
    <m/>
    <s v="Realizar a alteração de um produto cadastrado"/>
    <x v="0"/>
    <s v="MARIAZINHA"/>
    <x v="3"/>
    <x v="0"/>
  </r>
  <r>
    <x v="1"/>
    <m/>
    <s v="Realizar a alteração de um produto cadastrado"/>
    <x v="1"/>
    <s v="JOÃOZINHO"/>
    <x v="0"/>
    <x v="0"/>
  </r>
  <r>
    <x v="2"/>
    <m/>
    <s v="Realizar a alteração de um produto cadastrado"/>
    <x v="2"/>
    <s v="FULANINHO"/>
    <x v="1"/>
    <x v="0"/>
  </r>
  <r>
    <x v="0"/>
    <m/>
    <s v="Realizar a alteração de um produto cadastrado"/>
    <x v="3"/>
    <s v="MANÉZINHO"/>
    <x v="2"/>
    <x v="2"/>
  </r>
  <r>
    <x v="1"/>
    <m/>
    <s v="Realizar a alteração de um produto cadastrado"/>
    <x v="4"/>
    <s v="MARIAZINHA"/>
    <x v="3"/>
    <x v="0"/>
  </r>
  <r>
    <x v="2"/>
    <m/>
    <s v="Realizar a alteração de um produto cadastrado"/>
    <x v="0"/>
    <s v="JOÃOZINHO"/>
    <x v="0"/>
    <x v="0"/>
  </r>
  <r>
    <x v="0"/>
    <m/>
    <s v="Realizar a alteração de um produto cadastrado"/>
    <x v="1"/>
    <s v="FULANINHO"/>
    <x v="1"/>
    <x v="0"/>
  </r>
  <r>
    <x v="1"/>
    <m/>
    <s v="Realizar a alteração de um produto cadastrado"/>
    <x v="2"/>
    <s v="MANÉZINHO"/>
    <x v="2"/>
    <x v="5"/>
  </r>
  <r>
    <x v="2"/>
    <m/>
    <s v="Realizar a alteração de um produto cadastrado"/>
    <x v="3"/>
    <s v="MARIAZINHA"/>
    <x v="3"/>
    <x v="4"/>
  </r>
  <r>
    <x v="0"/>
    <m/>
    <s v="Realizar a alteração de um produto cadastrado"/>
    <x v="4"/>
    <s v="JOÃOZINHO"/>
    <x v="0"/>
    <x v="0"/>
  </r>
  <r>
    <x v="1"/>
    <m/>
    <s v="Realizar a alteração de um produto cadastrado"/>
    <x v="0"/>
    <s v="FULANINHO"/>
    <x v="1"/>
    <x v="0"/>
  </r>
  <r>
    <x v="2"/>
    <m/>
    <s v="Realizar a alteração de um produto cadastrado"/>
    <x v="1"/>
    <s v="MANÉZINHO"/>
    <x v="2"/>
    <x v="4"/>
  </r>
  <r>
    <x v="0"/>
    <m/>
    <s v="Realizar a alteração de um produto cadastrado"/>
    <x v="2"/>
    <s v="MARIAZINHA"/>
    <x v="3"/>
    <x v="0"/>
  </r>
  <r>
    <x v="1"/>
    <m/>
    <s v="Realizar a alteração de um produto cadastrado"/>
    <x v="3"/>
    <s v="JOÃOZINHO"/>
    <x v="0"/>
    <x v="0"/>
  </r>
  <r>
    <x v="2"/>
    <m/>
    <s v="Realizar a alteração de um produto cadastrado"/>
    <x v="4"/>
    <s v="FULANINHO"/>
    <x v="1"/>
    <x v="0"/>
  </r>
  <r>
    <x v="0"/>
    <m/>
    <s v="Realizar a alteração de um produto cadastrado"/>
    <x v="0"/>
    <s v="MANÉZINHO"/>
    <x v="2"/>
    <x v="0"/>
  </r>
  <r>
    <x v="1"/>
    <m/>
    <s v="Realizar a alteração de um produto cadastrado"/>
    <x v="1"/>
    <s v="MARIAZINHA"/>
    <x v="3"/>
    <x v="3"/>
  </r>
  <r>
    <x v="2"/>
    <m/>
    <s v="Realizar a alteração de um produto cadastrado"/>
    <x v="2"/>
    <s v="JOÃOZINHO"/>
    <x v="0"/>
    <x v="0"/>
  </r>
  <r>
    <x v="0"/>
    <m/>
    <s v="Realizar a alteração de um produto cadastrado"/>
    <x v="3"/>
    <s v="FULANINHO"/>
    <x v="1"/>
    <x v="0"/>
  </r>
  <r>
    <x v="1"/>
    <m/>
    <s v="Realizar a alteração de um produto cadastrado"/>
    <x v="4"/>
    <s v="MANÉZINHO"/>
    <x v="2"/>
    <x v="0"/>
  </r>
  <r>
    <x v="2"/>
    <m/>
    <s v="Realizar a alteração de um produto cadastrado"/>
    <x v="0"/>
    <s v="MARIAZINHA"/>
    <x v="3"/>
    <x v="0"/>
  </r>
  <r>
    <x v="0"/>
    <m/>
    <s v="Realizar a alteração de um produto cadastrado"/>
    <x v="1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4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2"/>
  </r>
  <r>
    <x v="1"/>
    <m/>
    <s v="Realizar a alteração de um produto cadastrado"/>
    <x v="3"/>
    <s v="MARIAZINHA"/>
    <x v="3"/>
    <x v="3"/>
  </r>
  <r>
    <x v="2"/>
    <m/>
    <s v="Realizar a alteração de um produto cadastrado"/>
    <x v="4"/>
    <s v="JOÃOZINHO"/>
    <x v="0"/>
    <x v="0"/>
  </r>
  <r>
    <x v="0"/>
    <m/>
    <s v="Realizar a alteração de um produto cadastrado"/>
    <x v="0"/>
    <s v="FULANINHO"/>
    <x v="1"/>
    <x v="0"/>
  </r>
  <r>
    <x v="1"/>
    <m/>
    <s v="Realizar a alteração de um produto cadastrado"/>
    <x v="1"/>
    <s v="MANÉZINHO"/>
    <x v="2"/>
    <x v="5"/>
  </r>
  <r>
    <x v="2"/>
    <m/>
    <s v="Realizar a alteração de um produto cadastrado"/>
    <x v="2"/>
    <s v="MARIAZINHA"/>
    <x v="3"/>
    <x v="4"/>
  </r>
  <r>
    <x v="0"/>
    <m/>
    <s v="Realizar a alteração de um produto cadastrado"/>
    <x v="3"/>
    <s v="JOÃOZINHO"/>
    <x v="0"/>
    <x v="0"/>
  </r>
  <r>
    <x v="1"/>
    <m/>
    <s v="Realizar a alteração de um produto cadastrado"/>
    <x v="4"/>
    <s v="FULANINHO"/>
    <x v="1"/>
    <x v="0"/>
  </r>
  <r>
    <x v="2"/>
    <m/>
    <s v="Realizar a alteração de um produto cadastrado"/>
    <x v="0"/>
    <s v="MANÉZINHO"/>
    <x v="2"/>
    <x v="0"/>
  </r>
  <r>
    <x v="0"/>
    <m/>
    <s v="Realizar a alteração de um produto cadastrado"/>
    <x v="1"/>
    <s v="MARIAZINHA"/>
    <x v="3"/>
    <x v="0"/>
  </r>
  <r>
    <x v="1"/>
    <m/>
    <s v="Realizar a alteração de um produto cadastrado"/>
    <x v="2"/>
    <s v="JOÃOZINHO"/>
    <x v="0"/>
    <x v="0"/>
  </r>
  <r>
    <x v="2"/>
    <m/>
    <s v="Realizar a alteração de um produto cadastrado"/>
    <x v="3"/>
    <s v="FULANINHO"/>
    <x v="1"/>
    <x v="0"/>
  </r>
  <r>
    <x v="0"/>
    <m/>
    <s v="Realizar a alteração de um produto cadastrado"/>
    <x v="4"/>
    <s v="MANÉZINHO"/>
    <x v="2"/>
    <x v="0"/>
  </r>
  <r>
    <x v="1"/>
    <m/>
    <s v="Realizar a alteração de um produto cadastrado"/>
    <x v="0"/>
    <s v="MARIAZINHA"/>
    <x v="3"/>
    <x v="0"/>
  </r>
  <r>
    <x v="2"/>
    <m/>
    <s v="Realizar a alteração de um produto cadastrado"/>
    <x v="1"/>
    <s v="JOÃOZINHO"/>
    <x v="0"/>
    <x v="0"/>
  </r>
  <r>
    <x v="0"/>
    <m/>
    <s v="Realizar a alteração de um produto cadastrado"/>
    <x v="2"/>
    <s v="FULANINHO"/>
    <x v="1"/>
    <x v="0"/>
  </r>
  <r>
    <x v="1"/>
    <m/>
    <s v="Realizar a alteração de um produto cadastrado"/>
    <x v="3"/>
    <s v="MANÉZINHO"/>
    <x v="2"/>
    <x v="5"/>
  </r>
  <r>
    <x v="2"/>
    <m/>
    <s v="Realizar a alteração de um produto cadastrado"/>
    <x v="4"/>
    <s v="MARIAZINHA"/>
    <x v="3"/>
    <x v="0"/>
  </r>
  <r>
    <x v="0"/>
    <m/>
    <s v="Realizar a alteração de um produto cadastrado"/>
    <x v="0"/>
    <s v="JOÃOZINHO"/>
    <x v="0"/>
    <x v="0"/>
  </r>
  <r>
    <x v="1"/>
    <m/>
    <s v="Realizar a alteração de um produto cadastrado"/>
    <x v="1"/>
    <s v="FULANINHO"/>
    <x v="1"/>
    <x v="0"/>
  </r>
  <r>
    <x v="2"/>
    <m/>
    <s v="Realizar a alteração de um produto cadastrado"/>
    <x v="2"/>
    <s v="MANÉZINHO"/>
    <x v="2"/>
    <x v="4"/>
  </r>
  <r>
    <x v="0"/>
    <m/>
    <s v="Realizar a alteração de um produto cadastrado"/>
    <x v="3"/>
    <s v="MARIAZINHA"/>
    <x v="3"/>
    <x v="0"/>
  </r>
  <r>
    <x v="1"/>
    <m/>
    <s v="Realizar a alteração de um produto cadastrado"/>
    <x v="4"/>
    <s v="JOÃOZINHO"/>
    <x v="0"/>
    <x v="0"/>
  </r>
  <r>
    <x v="2"/>
    <m/>
    <s v="Realizar a alteração de um produto cadastrado"/>
    <x v="0"/>
    <s v="FULANINHO"/>
    <x v="1"/>
    <x v="0"/>
  </r>
  <r>
    <x v="0"/>
    <m/>
    <s v="Realizar a alteração de um produto cadastrado"/>
    <x v="1"/>
    <s v="MANÉZINHO"/>
    <x v="2"/>
    <x v="2"/>
  </r>
  <r>
    <x v="1"/>
    <m/>
    <s v="Realizar a alteração de um produto cadastrado"/>
    <x v="2"/>
    <s v="MARIAZINHA"/>
    <x v="3"/>
    <x v="3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0"/>
    <s v="MANÉZINHO"/>
    <x v="2"/>
    <x v="0"/>
  </r>
  <r>
    <x v="2"/>
    <m/>
    <s v="Realizar a alteração de um produto cadastrado"/>
    <x v="1"/>
    <s v="MARIAZINHA"/>
    <x v="3"/>
    <x v="4"/>
  </r>
  <r>
    <x v="0"/>
    <m/>
    <s v="Realizar a alteração de um produto cadastrado"/>
    <x v="2"/>
    <s v="JOÃOZINHO"/>
    <x v="0"/>
    <x v="0"/>
  </r>
  <r>
    <x v="1"/>
    <m/>
    <s v="Realizar a alteração de um produto cadastrado"/>
    <x v="3"/>
    <s v="FULANINHO"/>
    <x v="1"/>
    <x v="0"/>
  </r>
  <r>
    <x v="2"/>
    <m/>
    <s v="Realizar a alteração de um produto cadastrado"/>
    <x v="4"/>
    <s v="MANÉZINHO"/>
    <x v="2"/>
    <x v="0"/>
  </r>
  <r>
    <x v="0"/>
    <m/>
    <s v="Realizar a alteração de um produto cadastrado"/>
    <x v="0"/>
    <s v="MARIAZINHA"/>
    <x v="3"/>
    <x v="0"/>
  </r>
  <r>
    <x v="1"/>
    <m/>
    <s v="Realizar a alteração de um produto cadastrado"/>
    <x v="1"/>
    <s v="JOÃOZINHO"/>
    <x v="0"/>
    <x v="0"/>
  </r>
  <r>
    <x v="2"/>
    <m/>
    <s v="Realizar a alteração de um produto cadastrado"/>
    <x v="2"/>
    <s v="FULANINHO"/>
    <x v="1"/>
    <x v="0"/>
  </r>
  <r>
    <x v="0"/>
    <m/>
    <s v="Realizar a alteração de um produto cadastrado"/>
    <x v="3"/>
    <s v="MANÉZINHO"/>
    <x v="2"/>
    <x v="2"/>
  </r>
  <r>
    <x v="1"/>
    <m/>
    <s v="Realizar a alteração de um produto cadastrado"/>
    <x v="4"/>
    <s v="MARIAZINHA"/>
    <x v="3"/>
    <x v="0"/>
  </r>
  <r>
    <x v="2"/>
    <m/>
    <s v="Realizar a alteração de um produto cadastrado"/>
    <x v="0"/>
    <s v="JOÃOZINHO"/>
    <x v="0"/>
    <x v="0"/>
  </r>
  <r>
    <x v="0"/>
    <m/>
    <s v="Realizar a alteração de um produto cadastrado"/>
    <x v="1"/>
    <s v="FULANINHO"/>
    <x v="1"/>
    <x v="0"/>
  </r>
  <r>
    <x v="1"/>
    <m/>
    <s v="Realizar a alteração de um produto cadastrado"/>
    <x v="2"/>
    <s v="MANÉZINHO"/>
    <x v="2"/>
    <x v="5"/>
  </r>
  <r>
    <x v="2"/>
    <m/>
    <s v="Realizar a alteração de um produto cadastrado"/>
    <x v="3"/>
    <s v="MARIAZINHA"/>
    <x v="3"/>
    <x v="4"/>
  </r>
  <r>
    <x v="0"/>
    <m/>
    <s v="Realizar a alteração de um produto cadastrado"/>
    <x v="4"/>
    <s v="JOÃOZINHO"/>
    <x v="0"/>
    <x v="0"/>
  </r>
  <r>
    <x v="1"/>
    <m/>
    <s v="Realizar a alteração de um produto cadastrado"/>
    <x v="0"/>
    <s v="FULANINHO"/>
    <x v="1"/>
    <x v="0"/>
  </r>
  <r>
    <x v="2"/>
    <m/>
    <s v="Realizar a alteração de um produto cadastrado"/>
    <x v="1"/>
    <s v="MANÉZINHO"/>
    <x v="2"/>
    <x v="4"/>
  </r>
  <r>
    <x v="0"/>
    <m/>
    <s v="Realizar a alteração de um produto cadastrado"/>
    <x v="2"/>
    <s v="MARIAZINHA"/>
    <x v="3"/>
    <x v="0"/>
  </r>
  <r>
    <x v="1"/>
    <m/>
    <s v="Realizar a alteração de um produto cadastrado"/>
    <x v="3"/>
    <s v="JOÃOZINHO"/>
    <x v="0"/>
    <x v="0"/>
  </r>
  <r>
    <x v="2"/>
    <m/>
    <s v="Realizar a alteração de um produto cadastrado"/>
    <x v="4"/>
    <s v="FULANINHO"/>
    <x v="1"/>
    <x v="0"/>
  </r>
  <r>
    <x v="0"/>
    <m/>
    <s v="Realizar a alteração de um produto cadastrado"/>
    <x v="0"/>
    <s v="MANÉZINHO"/>
    <x v="2"/>
    <x v="0"/>
  </r>
  <r>
    <x v="1"/>
    <m/>
    <s v="Realizar a alteração de um produto cadastrado"/>
    <x v="1"/>
    <s v="MARIAZINHA"/>
    <x v="3"/>
    <x v="3"/>
  </r>
  <r>
    <x v="2"/>
    <m/>
    <s v="Realizar a alteração de um produto cadastrado"/>
    <x v="2"/>
    <s v="JOÃOZINHO"/>
    <x v="0"/>
    <x v="0"/>
  </r>
  <r>
    <x v="0"/>
    <m/>
    <s v="Realizar a alteração de um produto cadastrado"/>
    <x v="3"/>
    <s v="FULANINHO"/>
    <x v="1"/>
    <x v="0"/>
  </r>
  <r>
    <x v="1"/>
    <m/>
    <s v="Realizar a alteração de um produto cadastrado"/>
    <x v="4"/>
    <s v="MANÉZINHO"/>
    <x v="2"/>
    <x v="0"/>
  </r>
  <r>
    <x v="2"/>
    <m/>
    <s v="Realizar a alteração de um produto cadastrado"/>
    <x v="0"/>
    <s v="MARIAZINHA"/>
    <x v="3"/>
    <x v="0"/>
  </r>
  <r>
    <x v="0"/>
    <m/>
    <s v="Realizar a alteração de um produto cadastrado"/>
    <x v="1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4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2"/>
  </r>
  <r>
    <x v="1"/>
    <m/>
    <s v="Realizar a alteração de um produto cadastrado"/>
    <x v="3"/>
    <s v="MARIAZINHA"/>
    <x v="3"/>
    <x v="3"/>
  </r>
  <r>
    <x v="2"/>
    <m/>
    <s v="Realizar a alteração de um produto cadastrado"/>
    <x v="4"/>
    <s v="JOÃOZINHO"/>
    <x v="0"/>
    <x v="0"/>
  </r>
  <r>
    <x v="0"/>
    <m/>
    <s v="Realizar a alteração de um produto cadastrado"/>
    <x v="0"/>
    <s v="FULANINHO"/>
    <x v="1"/>
    <x v="0"/>
  </r>
  <r>
    <x v="1"/>
    <m/>
    <s v="Realizar a alteração de um produto cadastrado"/>
    <x v="1"/>
    <s v="MANÉZINHO"/>
    <x v="2"/>
    <x v="5"/>
  </r>
  <r>
    <x v="2"/>
    <m/>
    <s v="Realizar a alteração de um produto cadastrado"/>
    <x v="2"/>
    <s v="MARIAZINHA"/>
    <x v="3"/>
    <x v="4"/>
  </r>
  <r>
    <x v="0"/>
    <m/>
    <s v="Realizar a alteração de um produto cadastrado"/>
    <x v="3"/>
    <s v="JOÃOZINHO"/>
    <x v="0"/>
    <x v="0"/>
  </r>
  <r>
    <x v="1"/>
    <m/>
    <s v="Realizar a alteração de um produto cadastrado"/>
    <x v="4"/>
    <s v="FULANINHO"/>
    <x v="1"/>
    <x v="0"/>
  </r>
  <r>
    <x v="2"/>
    <m/>
    <s v="Realizar a alteração de um produto cadastrado"/>
    <x v="0"/>
    <s v="MANÉZINHO"/>
    <x v="2"/>
    <x v="0"/>
  </r>
  <r>
    <x v="0"/>
    <m/>
    <s v="Realizar a alteração de um produto cadastrado"/>
    <x v="1"/>
    <s v="MARIAZINHA"/>
    <x v="3"/>
    <x v="0"/>
  </r>
  <r>
    <x v="1"/>
    <m/>
    <s v="Realizar a alteração de um produto cadastrado"/>
    <x v="2"/>
    <s v="JOÃOZINHO"/>
    <x v="0"/>
    <x v="0"/>
  </r>
  <r>
    <x v="2"/>
    <m/>
    <s v="Realizar a alteração de um produto cadastrado"/>
    <x v="3"/>
    <s v="FULANINHO"/>
    <x v="1"/>
    <x v="0"/>
  </r>
  <r>
    <x v="0"/>
    <m/>
    <s v="Realizar a alteração de um produto cadastrado"/>
    <x v="4"/>
    <s v="MANÉZINHO"/>
    <x v="2"/>
    <x v="0"/>
  </r>
  <r>
    <x v="1"/>
    <m/>
    <s v="Realizar a alteração de um produto cadastrado"/>
    <x v="0"/>
    <s v="MARIAZINHA"/>
    <x v="3"/>
    <x v="0"/>
  </r>
  <r>
    <x v="2"/>
    <m/>
    <s v="Realizar a alteração de um produto cadastrado"/>
    <x v="1"/>
    <s v="JOÃOZINHO"/>
    <x v="0"/>
    <x v="0"/>
  </r>
  <r>
    <x v="0"/>
    <m/>
    <s v="Realizar a alteração de um produto cadastrado"/>
    <x v="2"/>
    <s v="FULANINHO"/>
    <x v="1"/>
    <x v="0"/>
  </r>
  <r>
    <x v="1"/>
    <m/>
    <s v="Realizar a alteração de um produto cadastrado"/>
    <x v="3"/>
    <s v="MANÉZINHO"/>
    <x v="2"/>
    <x v="5"/>
  </r>
  <r>
    <x v="2"/>
    <m/>
    <s v="Realizar a alteração de um produto cadastrado"/>
    <x v="4"/>
    <s v="MARIAZINHA"/>
    <x v="3"/>
    <x v="0"/>
  </r>
  <r>
    <x v="0"/>
    <m/>
    <s v="Realizar a alteração de um produto cadastrado"/>
    <x v="0"/>
    <s v="JOÃOZINHO"/>
    <x v="0"/>
    <x v="0"/>
  </r>
  <r>
    <x v="1"/>
    <m/>
    <s v="Realizar a alteração de um produto cadastrado"/>
    <x v="1"/>
    <s v="FULANINHO"/>
    <x v="1"/>
    <x v="0"/>
  </r>
  <r>
    <x v="2"/>
    <m/>
    <s v="Realizar a alteração de um produto cadastrado"/>
    <x v="2"/>
    <s v="MANÉZINHO"/>
    <x v="2"/>
    <x v="4"/>
  </r>
  <r>
    <x v="0"/>
    <m/>
    <s v="Realizar a alteração de um produto cadastrado"/>
    <x v="3"/>
    <s v="MARIAZINHA"/>
    <x v="3"/>
    <x v="0"/>
  </r>
  <r>
    <x v="1"/>
    <m/>
    <s v="Realizar a alteração de um produto cadastrado"/>
    <x v="4"/>
    <s v="JOÃOZINHO"/>
    <x v="0"/>
    <x v="0"/>
  </r>
  <r>
    <x v="2"/>
    <m/>
    <s v="Realizar a alteração de um produto cadastrado"/>
    <x v="0"/>
    <s v="FULANINHO"/>
    <x v="1"/>
    <x v="0"/>
  </r>
  <r>
    <x v="0"/>
    <m/>
    <s v="Realizar a alteração de um produto cadastrado"/>
    <x v="1"/>
    <s v="MANÉZINHO"/>
    <x v="2"/>
    <x v="2"/>
  </r>
  <r>
    <x v="1"/>
    <m/>
    <s v="Realizar a alteração de um produto cadastrado"/>
    <x v="2"/>
    <s v="MARIAZINHA"/>
    <x v="3"/>
    <x v="3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0"/>
    <s v="MANÉZINHO"/>
    <x v="2"/>
    <x v="0"/>
  </r>
  <r>
    <x v="2"/>
    <m/>
    <s v="Realizar a alteração de um produto cadastrado"/>
    <x v="1"/>
    <s v="MARIAZINHA"/>
    <x v="3"/>
    <x v="4"/>
  </r>
  <r>
    <x v="0"/>
    <m/>
    <s v="Realizar a alteração de um produto cadastrado"/>
    <x v="2"/>
    <s v="JOÃOZINHO"/>
    <x v="0"/>
    <x v="0"/>
  </r>
  <r>
    <x v="1"/>
    <m/>
    <s v="Realizar a alteração de um produto cadastrado"/>
    <x v="3"/>
    <s v="FULANINHO"/>
    <x v="1"/>
    <x v="0"/>
  </r>
  <r>
    <x v="2"/>
    <m/>
    <s v="Realizar a alteração de um produto cadastrado"/>
    <x v="4"/>
    <s v="MANÉZINHO"/>
    <x v="2"/>
    <x v="0"/>
  </r>
  <r>
    <x v="0"/>
    <m/>
    <s v="Realizar a alteração de um produto cadastrado"/>
    <x v="0"/>
    <s v="MARIAZINHA"/>
    <x v="3"/>
    <x v="0"/>
  </r>
  <r>
    <x v="1"/>
    <m/>
    <s v="Realizar a alteração de um produto cadastrado"/>
    <x v="1"/>
    <s v="JOÃOZINHO"/>
    <x v="0"/>
    <x v="0"/>
  </r>
  <r>
    <x v="2"/>
    <m/>
    <s v="Realizar a alteração de um produto cadastrado"/>
    <x v="2"/>
    <s v="FULANINHO"/>
    <x v="1"/>
    <x v="0"/>
  </r>
  <r>
    <x v="0"/>
    <m/>
    <s v="Realizar a alteração de um produto cadastrado"/>
    <x v="3"/>
    <s v="MANÉZINHO"/>
    <x v="2"/>
    <x v="2"/>
  </r>
  <r>
    <x v="1"/>
    <m/>
    <s v="Realizar a alteração de um produto cadastrado"/>
    <x v="4"/>
    <s v="MARIAZINHA"/>
    <x v="3"/>
    <x v="0"/>
  </r>
  <r>
    <x v="2"/>
    <m/>
    <s v="Realizar a alteração de um produto cadastrado"/>
    <x v="0"/>
    <s v="JOÃOZINHO"/>
    <x v="0"/>
    <x v="0"/>
  </r>
  <r>
    <x v="0"/>
    <m/>
    <s v="Realizar a alteração de um produto cadastrado"/>
    <x v="1"/>
    <s v="FULANINHO"/>
    <x v="1"/>
    <x v="0"/>
  </r>
  <r>
    <x v="1"/>
    <m/>
    <s v="Realizar a alteração de um produto cadastrado"/>
    <x v="2"/>
    <s v="MANÉZINHO"/>
    <x v="2"/>
    <x v="5"/>
  </r>
  <r>
    <x v="2"/>
    <m/>
    <s v="Realizar a alteração de um produto cadastrado"/>
    <x v="3"/>
    <s v="MARIAZINHA"/>
    <x v="3"/>
    <x v="4"/>
  </r>
  <r>
    <x v="0"/>
    <m/>
    <s v="Realizar a alteração de um produto cadastrado"/>
    <x v="4"/>
    <s v="JOÃOZINHO"/>
    <x v="0"/>
    <x v="0"/>
  </r>
  <r>
    <x v="1"/>
    <m/>
    <s v="Realizar a alteração de um produto cadastrado"/>
    <x v="0"/>
    <s v="FULANINHO"/>
    <x v="1"/>
    <x v="0"/>
  </r>
  <r>
    <x v="2"/>
    <m/>
    <s v="Realizar a alteração de um produto cadastrado"/>
    <x v="1"/>
    <s v="MANÉZINHO"/>
    <x v="2"/>
    <x v="4"/>
  </r>
  <r>
    <x v="0"/>
    <m/>
    <s v="Realizar a alteração de um produto cadastrado"/>
    <x v="2"/>
    <s v="MARIAZINHA"/>
    <x v="3"/>
    <x v="0"/>
  </r>
  <r>
    <x v="1"/>
    <m/>
    <s v="Realizar a alteração de um produto cadastrado"/>
    <x v="3"/>
    <s v="JOÃOZINHO"/>
    <x v="0"/>
    <x v="0"/>
  </r>
  <r>
    <x v="2"/>
    <m/>
    <s v="Realizar a alteração de um produto cadastrado"/>
    <x v="4"/>
    <s v="FULANINHO"/>
    <x v="1"/>
    <x v="0"/>
  </r>
  <r>
    <x v="0"/>
    <m/>
    <s v="Realizar a alteração de um produto cadastrado"/>
    <x v="0"/>
    <s v="MANÉZINHO"/>
    <x v="2"/>
    <x v="0"/>
  </r>
  <r>
    <x v="1"/>
    <m/>
    <s v="Realizar a alteração de um produto cadastrado"/>
    <x v="1"/>
    <s v="MARIAZINHA"/>
    <x v="3"/>
    <x v="3"/>
  </r>
  <r>
    <x v="2"/>
    <m/>
    <s v="Realizar a alteração de um produto cadastrado"/>
    <x v="2"/>
    <s v="JOÃOZINHO"/>
    <x v="0"/>
    <x v="0"/>
  </r>
  <r>
    <x v="0"/>
    <m/>
    <s v="Realizar a alteração de um produto cadastrado"/>
    <x v="3"/>
    <s v="FULANINHO"/>
    <x v="1"/>
    <x v="0"/>
  </r>
  <r>
    <x v="1"/>
    <m/>
    <s v="Realizar a alteração de um produto cadastrado"/>
    <x v="4"/>
    <s v="MANÉZINHO"/>
    <x v="2"/>
    <x v="0"/>
  </r>
  <r>
    <x v="2"/>
    <m/>
    <s v="Realizar a alteração de um produto cadastrado"/>
    <x v="0"/>
    <s v="MARIAZINHA"/>
    <x v="3"/>
    <x v="0"/>
  </r>
  <r>
    <x v="0"/>
    <m/>
    <s v="Realizar a alteração de um produto cadastrado"/>
    <x v="1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4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2"/>
  </r>
  <r>
    <x v="1"/>
    <m/>
    <s v="Realizar a alteração de um produto cadastrado"/>
    <x v="3"/>
    <s v="MARIAZINHA"/>
    <x v="3"/>
    <x v="3"/>
  </r>
  <r>
    <x v="2"/>
    <m/>
    <s v="Realizar a alteração de um produto cadastrado"/>
    <x v="4"/>
    <s v="JOÃOZINHO"/>
    <x v="0"/>
    <x v="0"/>
  </r>
  <r>
    <x v="0"/>
    <m/>
    <s v="Realizar a alteração de um produto cadastrado"/>
    <x v="0"/>
    <s v="FULANINHO"/>
    <x v="1"/>
    <x v="0"/>
  </r>
  <r>
    <x v="1"/>
    <m/>
    <s v="Realizar a alteração de um produto cadastrado"/>
    <x v="1"/>
    <s v="MANÉZINHO"/>
    <x v="2"/>
    <x v="5"/>
  </r>
  <r>
    <x v="2"/>
    <m/>
    <s v="Realizar a alteração de um produto cadastrado"/>
    <x v="2"/>
    <s v="MARIAZINHA"/>
    <x v="3"/>
    <x v="4"/>
  </r>
  <r>
    <x v="0"/>
    <m/>
    <s v="Realizar a alteração de um produto cadastrado"/>
    <x v="3"/>
    <s v="JOÃOZINHO"/>
    <x v="0"/>
    <x v="0"/>
  </r>
  <r>
    <x v="1"/>
    <m/>
    <s v="Realizar a alteração de um produto cadastrado"/>
    <x v="4"/>
    <s v="FULANINHO"/>
    <x v="1"/>
    <x v="0"/>
  </r>
  <r>
    <x v="2"/>
    <m/>
    <s v="Realizar a alteração de um produto cadastrado"/>
    <x v="0"/>
    <s v="MANÉZINHO"/>
    <x v="2"/>
    <x v="0"/>
  </r>
  <r>
    <x v="0"/>
    <m/>
    <s v="Realizar a alteração de um produto cadastrado"/>
    <x v="1"/>
    <s v="MARIAZINHA"/>
    <x v="3"/>
    <x v="0"/>
  </r>
  <r>
    <x v="1"/>
    <m/>
    <s v="Realizar a alteração de um produto cadastrado"/>
    <x v="2"/>
    <s v="JOÃOZINHO"/>
    <x v="0"/>
    <x v="0"/>
  </r>
  <r>
    <x v="2"/>
    <m/>
    <s v="Realizar a alteração de um produto cadastrado"/>
    <x v="3"/>
    <s v="FULANINHO"/>
    <x v="1"/>
    <x v="0"/>
  </r>
  <r>
    <x v="0"/>
    <m/>
    <s v="Realizar a alteração de um produto cadastrado"/>
    <x v="4"/>
    <s v="MANÉZINHO"/>
    <x v="2"/>
    <x v="0"/>
  </r>
  <r>
    <x v="1"/>
    <m/>
    <s v="Realizar a alteração de um produto cadastrado"/>
    <x v="0"/>
    <s v="MARIAZINHA"/>
    <x v="3"/>
    <x v="0"/>
  </r>
  <r>
    <x v="2"/>
    <m/>
    <s v="Realizar a alteração de um produto cadastrado"/>
    <x v="1"/>
    <s v="JOÃOZINHO"/>
    <x v="0"/>
    <x v="0"/>
  </r>
  <r>
    <x v="0"/>
    <m/>
    <s v="Realizar a alteração de um produto cadastrado"/>
    <x v="2"/>
    <s v="FULANINHO"/>
    <x v="1"/>
    <x v="0"/>
  </r>
  <r>
    <x v="1"/>
    <m/>
    <s v="Realizar a alteração de um produto cadastrado"/>
    <x v="3"/>
    <s v="MANÉZINHO"/>
    <x v="2"/>
    <x v="5"/>
  </r>
  <r>
    <x v="2"/>
    <m/>
    <s v="Realizar a alteração de um produto cadastrado"/>
    <x v="4"/>
    <s v="MARIAZINHA"/>
    <x v="3"/>
    <x v="0"/>
  </r>
  <r>
    <x v="0"/>
    <m/>
    <s v="Realizar a alteração de um produto cadastrado"/>
    <x v="0"/>
    <s v="JOÃOZINHO"/>
    <x v="0"/>
    <x v="0"/>
  </r>
  <r>
    <x v="1"/>
    <m/>
    <s v="Realizar a alteração de um produto cadastrado"/>
    <x v="1"/>
    <s v="FULANINHO"/>
    <x v="1"/>
    <x v="0"/>
  </r>
  <r>
    <x v="2"/>
    <m/>
    <s v="Realizar a alteração de um produto cadastrado"/>
    <x v="2"/>
    <s v="MANÉZINHO"/>
    <x v="2"/>
    <x v="4"/>
  </r>
  <r>
    <x v="0"/>
    <m/>
    <s v="Realizar a alteração de um produto cadastrado"/>
    <x v="3"/>
    <s v="MARIAZINHA"/>
    <x v="3"/>
    <x v="0"/>
  </r>
  <r>
    <x v="1"/>
    <m/>
    <s v="Realizar a alteração de um produto cadastrado"/>
    <x v="4"/>
    <s v="JOÃOZINHO"/>
    <x v="0"/>
    <x v="0"/>
  </r>
  <r>
    <x v="2"/>
    <m/>
    <s v="Realizar a alteração de um produto cadastrado"/>
    <x v="0"/>
    <s v="FULANINHO"/>
    <x v="1"/>
    <x v="0"/>
  </r>
  <r>
    <x v="0"/>
    <m/>
    <s v="Realizar a alteração de um produto cadastrado"/>
    <x v="1"/>
    <s v="MANÉZINHO"/>
    <x v="2"/>
    <x v="2"/>
  </r>
  <r>
    <x v="1"/>
    <m/>
    <s v="Realizar a alteração de um produto cadastrado"/>
    <x v="2"/>
    <s v="MARIAZINHA"/>
    <x v="3"/>
    <x v="3"/>
  </r>
  <r>
    <x v="2"/>
    <m/>
    <s v="Realizar a alteração de um produto cadastrado"/>
    <x v="3"/>
    <s v="JOÃOZINHO"/>
    <x v="0"/>
    <x v="0"/>
  </r>
  <r>
    <x v="0"/>
    <m/>
    <s v="Realizar a alteração de um produto cadastrado"/>
    <x v="4"/>
    <s v="FULANINHO"/>
    <x v="1"/>
    <x v="0"/>
  </r>
  <r>
    <x v="1"/>
    <m/>
    <s v="Realizar a alteração de um produto cadastrado"/>
    <x v="0"/>
    <s v="MANÉZINHO"/>
    <x v="2"/>
    <x v="0"/>
  </r>
  <r>
    <x v="2"/>
    <m/>
    <s v="Realizar a alteração de um produto cadastrado"/>
    <x v="1"/>
    <s v="MARIAZINHA"/>
    <x v="3"/>
    <x v="4"/>
  </r>
  <r>
    <x v="0"/>
    <m/>
    <s v="Realizar a alteração de um produto cadastrado"/>
    <x v="2"/>
    <s v="JOÃOZINHO"/>
    <x v="0"/>
    <x v="0"/>
  </r>
  <r>
    <x v="1"/>
    <m/>
    <s v="Realizar a alteração de um produto cadastrado"/>
    <x v="3"/>
    <s v="FULANINHO"/>
    <x v="1"/>
    <x v="0"/>
  </r>
  <r>
    <x v="2"/>
    <m/>
    <s v="Realizar a alteração de um produto cadastrado"/>
    <x v="4"/>
    <s v="MANÉZINHO"/>
    <x v="2"/>
    <x v="0"/>
  </r>
  <r>
    <x v="0"/>
    <m/>
    <s v="Realizar a alteração de um produto cadastrado"/>
    <x v="0"/>
    <s v="MARIAZINHA"/>
    <x v="3"/>
    <x v="0"/>
  </r>
  <r>
    <x v="1"/>
    <m/>
    <s v="Realizar a alteração de um produto cadastrado"/>
    <x v="1"/>
    <s v="JOÃOZINHO"/>
    <x v="0"/>
    <x v="0"/>
  </r>
  <r>
    <x v="2"/>
    <m/>
    <s v="Realizar a alteração de um produto cadastrado"/>
    <x v="2"/>
    <s v="FULANINHO"/>
    <x v="1"/>
    <x v="0"/>
  </r>
  <r>
    <x v="0"/>
    <m/>
    <s v="Realizar a alteração de um produto cadastrado"/>
    <x v="3"/>
    <s v="MANÉZINHO"/>
    <x v="2"/>
    <x v="2"/>
  </r>
  <r>
    <x v="1"/>
    <m/>
    <s v="Realizar a alteração de um produto cadastrado"/>
    <x v="4"/>
    <s v="MARIAZINHA"/>
    <x v="3"/>
    <x v="0"/>
  </r>
  <r>
    <x v="2"/>
    <m/>
    <s v="Realizar a alteração de um produto cadastrado"/>
    <x v="0"/>
    <s v="JOÃOZINHO"/>
    <x v="0"/>
    <x v="0"/>
  </r>
  <r>
    <x v="0"/>
    <m/>
    <s v="Realizar a alteração de um produto cadastrado"/>
    <x v="1"/>
    <s v="FULANINHO"/>
    <x v="1"/>
    <x v="0"/>
  </r>
  <r>
    <x v="1"/>
    <m/>
    <s v="Realizar a alteração de um produto cadastrado"/>
    <x v="2"/>
    <s v="MANÉZINHO"/>
    <x v="2"/>
    <x v="5"/>
  </r>
  <r>
    <x v="2"/>
    <m/>
    <s v="Realizar a alteração de um produto cadastrado"/>
    <x v="3"/>
    <s v="MARIAZINHA"/>
    <x v="3"/>
    <x v="4"/>
  </r>
  <r>
    <x v="0"/>
    <m/>
    <s v="Realizar a alteração de um produto cadastrado"/>
    <x v="4"/>
    <s v="JOÃOZINHO"/>
    <x v="0"/>
    <x v="0"/>
  </r>
  <r>
    <x v="1"/>
    <m/>
    <s v="Realizar a alteração de um produto cadastrado"/>
    <x v="0"/>
    <s v="FULANINHO"/>
    <x v="1"/>
    <x v="0"/>
  </r>
  <r>
    <x v="2"/>
    <m/>
    <s v="Realizar a alteração de um produto cadastrado"/>
    <x v="1"/>
    <s v="MANÉZINHO"/>
    <x v="2"/>
    <x v="4"/>
  </r>
  <r>
    <x v="0"/>
    <m/>
    <s v="Realizar a alteração de um produto cadastrado"/>
    <x v="2"/>
    <s v="MARIAZINHA"/>
    <x v="3"/>
    <x v="0"/>
  </r>
  <r>
    <x v="1"/>
    <m/>
    <s v="Realizar a alteração de um produto cadastrado"/>
    <x v="3"/>
    <s v="JOÃOZINHO"/>
    <x v="0"/>
    <x v="0"/>
  </r>
  <r>
    <x v="2"/>
    <m/>
    <s v="Realizar a alteração de um produto cadastrado"/>
    <x v="4"/>
    <s v="FULANINHO"/>
    <x v="1"/>
    <x v="0"/>
  </r>
  <r>
    <x v="0"/>
    <m/>
    <s v="Realizar a alteração de um produto cadastrado"/>
    <x v="0"/>
    <s v="MANÉZINHO"/>
    <x v="2"/>
    <x v="0"/>
  </r>
  <r>
    <x v="1"/>
    <m/>
    <s v="Realizar a alteração de um produto cadastrado"/>
    <x v="1"/>
    <s v="MARIAZINHA"/>
    <x v="3"/>
    <x v="3"/>
  </r>
  <r>
    <x v="2"/>
    <m/>
    <s v="Realizar a alteração de um produto cadastrado"/>
    <x v="2"/>
    <s v="JOÃOZINHO"/>
    <x v="0"/>
    <x v="0"/>
  </r>
  <r>
    <x v="0"/>
    <m/>
    <s v="Realizar a alteração de um produto cadastrado"/>
    <x v="3"/>
    <s v="FULANINHO"/>
    <x v="1"/>
    <x v="0"/>
  </r>
  <r>
    <x v="1"/>
    <m/>
    <s v="Realizar a alteração de um produto cadastrado"/>
    <x v="4"/>
    <s v="MANÉZINHO"/>
    <x v="2"/>
    <x v="0"/>
  </r>
  <r>
    <x v="2"/>
    <m/>
    <s v="Realizar a alteração de um produto cadastrado"/>
    <x v="0"/>
    <s v="MARIAZINHA"/>
    <x v="3"/>
    <x v="0"/>
  </r>
  <r>
    <x v="0"/>
    <m/>
    <s v="Realizar a alteração de um produto cadastrado"/>
    <x v="1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4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2"/>
  </r>
  <r>
    <x v="1"/>
    <m/>
    <s v="Realizar a alteração de um produto cadastrado"/>
    <x v="3"/>
    <s v="MARIAZINHA"/>
    <x v="3"/>
    <x v="3"/>
  </r>
  <r>
    <x v="2"/>
    <m/>
    <s v="Realizar a alteração de um produto cadastrado"/>
    <x v="4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4"/>
  </r>
  <r>
    <x v="0"/>
    <m/>
    <s v="Realizar a alteração de um produto cadastrado"/>
    <x v="4"/>
    <s v="MARIAZINHA"/>
    <x v="3"/>
    <x v="0"/>
  </r>
  <r>
    <x v="1"/>
    <m/>
    <s v="Realizar a alteração de um produto cadastrado"/>
    <x v="0"/>
    <s v="JOÃOZINHO"/>
    <x v="0"/>
    <x v="0"/>
  </r>
  <r>
    <x v="2"/>
    <m/>
    <s v="Realizar a alteração de um produto cadastrado"/>
    <x v="1"/>
    <s v="FULANINHO"/>
    <x v="1"/>
    <x v="0"/>
  </r>
  <r>
    <x v="0"/>
    <m/>
    <s v="Realizar a alteração de um produto cadastrado"/>
    <x v="2"/>
    <s v="MANÉZINHO"/>
    <x v="2"/>
    <x v="2"/>
  </r>
  <r>
    <x v="1"/>
    <m/>
    <s v="Realizar a alteração de um produto cadastrado"/>
    <x v="3"/>
    <s v="MARIAZINHA"/>
    <x v="3"/>
    <x v="3"/>
  </r>
  <r>
    <x v="2"/>
    <m/>
    <s v="Realizar a alteração de um produto cadastrado"/>
    <x v="4"/>
    <s v="JOÃOZINHO"/>
    <x v="0"/>
    <x v="0"/>
  </r>
  <r>
    <x v="1"/>
    <m/>
    <s v="Realizar a alteração de um produto cadastrado"/>
    <x v="2"/>
    <s v="FULANINHO"/>
    <x v="1"/>
    <x v="0"/>
  </r>
  <r>
    <x v="2"/>
    <m/>
    <s v="Realizar a alteração de um produto cadastrado"/>
    <x v="3"/>
    <s v="MANÉZINHO"/>
    <x v="2"/>
    <x v="4"/>
  </r>
  <r>
    <x v="0"/>
    <m/>
    <s v="Realizar a alteração de um produto cadastrado"/>
    <x v="4"/>
    <s v="MARIAZINHA"/>
    <x v="3"/>
    <x v="0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  <r>
    <x v="3"/>
    <m/>
    <m/>
    <x v="6"/>
    <m/>
    <x v="4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1" cacheId="0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46">
  <location ref="A3:B10" firstHeaderRow="1" firstDataRow="1" firstDataCol="1"/>
  <pivotFields count="9">
    <pivotField showAll="0"/>
    <pivotField showAll="0" defaultSubtotal="0"/>
    <pivotField showAll="0" defaultSubtotal="0"/>
    <pivotField showAll="0"/>
    <pivotField showAll="0"/>
    <pivotField showAll="0"/>
    <pivotField axis="axisRow" dataField="1" showAll="0">
      <items count="8">
        <item x="0"/>
        <item x="2"/>
        <item x="3"/>
        <item x="4"/>
        <item x="5"/>
        <item x="1"/>
        <item h="1"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STATUS DOS TESTES" fld="6" subtotal="count" baseField="0" baseItem="0"/>
  </dataFields>
  <formats count="1">
    <format dxfId="5">
      <pivotArea outline="0" collapsedLevelsAreSubtotals="1" fieldPosition="0"/>
    </format>
  </formats>
  <chartFormats count="1">
    <chartFormat chart="4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1" cacheId="0" dataPosition="0" applyNumberFormats="0" applyBorderFormats="0" applyFontFormats="0" applyPatternFormats="0" applyAlignmentFormats="0" applyWidthHeightFormats="1" dataCaption="Valores" updatedVersion="6" minRefreshableVersion="3" rowGrandTotals="0" itemPrintTitles="1" createdVersion="5" indent="0" outline="1" outlineData="1" multipleFieldFilters="0" chartFormat="79">
  <location ref="A3:H10" firstHeaderRow="1" firstDataRow="2" firstDataCol="1"/>
  <pivotFields count="9">
    <pivotField showAll="0"/>
    <pivotField showAll="0" defaultSubtotal="0"/>
    <pivotField showAll="0" defaultSubtotal="0"/>
    <pivotField axis="axisRow" showAll="0" sortType="ascending">
      <items count="13">
        <item x="5"/>
        <item x="3"/>
        <item x="2"/>
        <item x="4"/>
        <item x="0"/>
        <item x="1"/>
        <item h="1" m="1" x="9"/>
        <item h="1" m="1" x="10"/>
        <item h="1" m="1" x="11"/>
        <item h="1" m="1" x="7"/>
        <item h="1" m="1" x="8"/>
        <item h="1" x="6"/>
        <item t="default"/>
      </items>
    </pivotField>
    <pivotField showAll="0"/>
    <pivotField showAll="0"/>
    <pivotField axis="axisCol" showAll="0">
      <items count="8">
        <item x="0"/>
        <item x="2"/>
        <item x="3"/>
        <item x="4"/>
        <item x="5"/>
        <item x="1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ela dinâmica1" cacheId="0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50">
  <location ref="A3:I5" firstHeaderRow="1" firstDataRow="2" firstDataCol="1"/>
  <pivotFields count="9">
    <pivotField showAl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0"/>
        <item x="2"/>
        <item x="3"/>
        <item x="4"/>
        <item x="5"/>
        <item x="1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6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ntagem de CRITICIDADE" fld="3" subtotal="count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1" cacheId="0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50">
  <location ref="A3:I5" firstHeaderRow="1" firstDataRow="2" firstDataCol="1"/>
  <pivotFields count="9">
    <pivotField showAl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0"/>
        <item x="2"/>
        <item x="3"/>
        <item x="4"/>
        <item x="5"/>
        <item x="1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6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ntagem de CRITICIDADE" fld="3" subtotal="count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ela dinâmica1" cacheId="0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50">
  <location ref="A3:I9" firstHeaderRow="1" firstDataRow="2" firstDataCol="1"/>
  <pivotFields count="9">
    <pivotField axis="axisRow" showAll="0">
      <items count="5">
        <item x="0"/>
        <item x="2"/>
        <item x="1"/>
        <item x="3"/>
        <item t="default"/>
      </items>
    </pivotField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0"/>
        <item x="2"/>
        <item x="3"/>
        <item x="4"/>
        <item x="5"/>
        <item x="1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6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ntagem de CRITICIDADE" fld="3" subtotal="count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ela dinâmica1" cacheId="0" dataPosition="0" applyNumberFormats="0" applyBorderFormats="0" applyFontFormats="0" applyPatternFormats="0" applyAlignmentFormats="0" applyWidthHeightFormats="1" dataCaption="Valores" updatedVersion="6" minRefreshableVersion="3" rowGrandTotals="0" itemPrintTitles="1" createdVersion="5" indent="0" outline="1" outlineData="1" multipleFieldFilters="0" chartFormat="50">
  <location ref="A3:H8" firstHeaderRow="1" firstDataRow="2" firstDataCol="1"/>
  <pivotFields count="9">
    <pivotField showAll="0"/>
    <pivotField showAll="0" defaultSubtotal="0"/>
    <pivotField showAll="0" defaultSubtotal="0"/>
    <pivotField dataField="1" showAll="0"/>
    <pivotField showAll="0"/>
    <pivotField axis="axisRow" showAll="0">
      <items count="7">
        <item x="3"/>
        <item x="2"/>
        <item x="1"/>
        <item x="0"/>
        <item h="1" m="1" x="5"/>
        <item h="1" x="4"/>
        <item t="default"/>
      </items>
    </pivotField>
    <pivotField axis="axisCol" showAll="0">
      <items count="8">
        <item x="0"/>
        <item x="2"/>
        <item x="3"/>
        <item x="4"/>
        <item x="5"/>
        <item x="1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4">
    <i>
      <x/>
    </i>
    <i>
      <x v="1"/>
    </i>
    <i>
      <x v="2"/>
    </i>
    <i>
      <x v="3"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ntagem de CRITICIDADE" fld="3" subtotal="count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3154AC-B9B7-46BE-8134-90C5B8D1F05F}" name="Tabela1" displayName="Tabela1" ref="A1:B7" totalsRowShown="0" headerRowDxfId="6">
  <autoFilter ref="A1:B7" xr:uid="{5A320B07-1F94-454D-ACED-ACDA5B8CCACA}"/>
  <tableColumns count="2">
    <tableColumn id="1" xr3:uid="{D6F294BE-CC86-48C1-95C1-FAE439EF3093}" name="Criticidade"/>
    <tableColumn id="2" xr3:uid="{52A4B37D-2395-426A-A89E-9946C28BC87D}" name="Quantid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A5398F-BDD7-419E-88D2-BB72C06F7985}" name="Tabela3" displayName="Tabela3" ref="H1:I3" totalsRowShown="0">
  <autoFilter ref="H1:I3" xr:uid="{52FD9AA5-22E2-4449-B5AB-3400168369E8}"/>
  <tableColumns count="2">
    <tableColumn id="1" xr3:uid="{27C0C2D4-24E0-4470-B269-9A3063C3ECA5}" name="Status do Teste"/>
    <tableColumn id="2" xr3:uid="{E8F2CFCE-54A7-458F-B593-A5F8FA4EC8C4}" name="Quantida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C000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BA1012"/>
  <sheetViews>
    <sheetView showGridLines="0" zoomScale="90" zoomScaleNormal="90" workbookViewId="0">
      <pane ySplit="6" topLeftCell="A7" activePane="bottomLeft" state="frozen"/>
      <selection pane="bottomLeft" activeCell="F12" sqref="F12"/>
    </sheetView>
  </sheetViews>
  <sheetFormatPr defaultColWidth="0" defaultRowHeight="32.25" customHeight="1" zeroHeight="1" x14ac:dyDescent="0.25"/>
  <cols>
    <col min="1" max="1" width="4.140625" customWidth="1"/>
    <col min="2" max="2" width="26.85546875" bestFit="1" customWidth="1"/>
    <col min="3" max="3" width="46.28515625" bestFit="1" customWidth="1"/>
    <col min="4" max="4" width="49.7109375" customWidth="1"/>
    <col min="5" max="5" width="17.28515625" customWidth="1"/>
    <col min="6" max="6" width="24.42578125" customWidth="1"/>
    <col min="7" max="7" width="21.85546875" customWidth="1"/>
    <col min="8" max="9" width="4.140625" customWidth="1"/>
    <col min="10" max="53" width="0" hidden="1" customWidth="1"/>
    <col min="54" max="16384" width="4.140625" hidden="1"/>
  </cols>
  <sheetData>
    <row r="1" spans="1:9" ht="15" x14ac:dyDescent="0.25">
      <c r="A1" s="1"/>
      <c r="B1" s="1"/>
      <c r="C1" s="1"/>
      <c r="D1" s="1"/>
      <c r="E1" s="1"/>
      <c r="F1" s="1"/>
      <c r="G1" s="1"/>
      <c r="H1" s="1"/>
    </row>
    <row r="2" spans="1:9" ht="16.5" customHeight="1" x14ac:dyDescent="0.25">
      <c r="A2" s="1"/>
      <c r="B2" s="1"/>
      <c r="C2" s="1"/>
      <c r="D2" s="1"/>
      <c r="E2" s="1"/>
      <c r="F2" s="1"/>
      <c r="G2" s="27" t="s">
        <v>36</v>
      </c>
    </row>
    <row r="3" spans="1:9" ht="16.5" customHeight="1" x14ac:dyDescent="0.25">
      <c r="A3" s="1"/>
      <c r="B3" s="1"/>
      <c r="C3" s="1"/>
      <c r="D3" s="1"/>
      <c r="E3" s="1"/>
      <c r="F3" s="1"/>
      <c r="G3" s="27"/>
    </row>
    <row r="4" spans="1:9" ht="16.5" customHeight="1" x14ac:dyDescent="0.25">
      <c r="A4" s="2"/>
      <c r="B4" s="2"/>
      <c r="C4" s="2"/>
      <c r="D4" s="2"/>
      <c r="E4" s="2"/>
      <c r="F4" s="2"/>
      <c r="G4" s="28"/>
      <c r="H4" s="4"/>
    </row>
    <row r="5" spans="1:9" ht="16.5" customHeight="1" x14ac:dyDescent="0.25">
      <c r="H5" s="3"/>
    </row>
    <row r="6" spans="1:9" s="5" customFormat="1" ht="15" x14ac:dyDescent="0.25">
      <c r="B6" s="6" t="s">
        <v>0</v>
      </c>
      <c r="C6" s="6" t="s">
        <v>34</v>
      </c>
      <c r="D6" s="6" t="s">
        <v>33</v>
      </c>
      <c r="E6" s="6" t="s">
        <v>9</v>
      </c>
      <c r="F6" s="6" t="s">
        <v>8</v>
      </c>
      <c r="G6" s="7" t="s">
        <v>10</v>
      </c>
      <c r="H6" s="3"/>
      <c r="I6"/>
    </row>
    <row r="7" spans="1:9" s="5" customFormat="1" ht="32.25" customHeight="1" x14ac:dyDescent="0.25">
      <c r="B7" s="8" t="s">
        <v>37</v>
      </c>
      <c r="C7" s="9" t="s">
        <v>59</v>
      </c>
      <c r="D7" s="9" t="s">
        <v>60</v>
      </c>
      <c r="E7" s="10" t="s">
        <v>26</v>
      </c>
      <c r="F7" s="11" t="s">
        <v>58</v>
      </c>
      <c r="G7" s="12" t="s">
        <v>12</v>
      </c>
      <c r="H7" s="3"/>
      <c r="I7"/>
    </row>
    <row r="8" spans="1:9" s="5" customFormat="1" ht="32.25" customHeight="1" x14ac:dyDescent="0.25">
      <c r="B8" s="8" t="s">
        <v>38</v>
      </c>
      <c r="C8" s="9" t="s">
        <v>61</v>
      </c>
      <c r="D8" s="9" t="s">
        <v>62</v>
      </c>
      <c r="E8" s="10" t="s">
        <v>25</v>
      </c>
      <c r="F8" s="11" t="s">
        <v>58</v>
      </c>
      <c r="G8" s="12" t="s">
        <v>12</v>
      </c>
      <c r="H8" s="3"/>
      <c r="I8"/>
    </row>
    <row r="9" spans="1:9" s="5" customFormat="1" ht="32.25" customHeight="1" x14ac:dyDescent="0.25">
      <c r="B9" s="8" t="s">
        <v>39</v>
      </c>
      <c r="C9" s="9" t="s">
        <v>63</v>
      </c>
      <c r="D9" s="9" t="s">
        <v>64</v>
      </c>
      <c r="E9" s="10" t="s">
        <v>27</v>
      </c>
      <c r="F9" s="11" t="s">
        <v>58</v>
      </c>
      <c r="G9" s="12" t="s">
        <v>12</v>
      </c>
      <c r="H9" s="3"/>
      <c r="I9"/>
    </row>
    <row r="10" spans="1:9" s="5" customFormat="1" ht="32.25" customHeight="1" x14ac:dyDescent="0.25">
      <c r="B10" s="8" t="s">
        <v>40</v>
      </c>
      <c r="C10" s="9" t="s">
        <v>84</v>
      </c>
      <c r="D10" s="9" t="s">
        <v>65</v>
      </c>
      <c r="E10" s="10" t="s">
        <v>27</v>
      </c>
      <c r="F10" s="11" t="s">
        <v>58</v>
      </c>
      <c r="G10" s="12" t="s">
        <v>12</v>
      </c>
      <c r="H10" s="3"/>
      <c r="I10"/>
    </row>
    <row r="11" spans="1:9" s="5" customFormat="1" ht="32.25" customHeight="1" x14ac:dyDescent="0.25">
      <c r="B11" s="8" t="s">
        <v>41</v>
      </c>
      <c r="C11" s="9" t="s">
        <v>66</v>
      </c>
      <c r="D11" s="9" t="s">
        <v>67</v>
      </c>
      <c r="E11" s="10" t="s">
        <v>24</v>
      </c>
      <c r="F11" s="11" t="s">
        <v>58</v>
      </c>
      <c r="G11" s="12" t="s">
        <v>12</v>
      </c>
      <c r="H11" s="3"/>
      <c r="I11"/>
    </row>
    <row r="12" spans="1:9" s="5" customFormat="1" ht="32.25" customHeight="1" x14ac:dyDescent="0.25">
      <c r="B12" s="8" t="s">
        <v>42</v>
      </c>
      <c r="C12" s="9" t="s">
        <v>68</v>
      </c>
      <c r="D12" s="9" t="s">
        <v>69</v>
      </c>
      <c r="E12" s="10" t="s">
        <v>27</v>
      </c>
      <c r="F12" s="11" t="s">
        <v>58</v>
      </c>
      <c r="G12" s="12" t="s">
        <v>12</v>
      </c>
      <c r="H12" s="3"/>
      <c r="I12"/>
    </row>
    <row r="13" spans="1:9" s="5" customFormat="1" ht="32.25" customHeight="1" x14ac:dyDescent="0.25">
      <c r="B13" s="8" t="s">
        <v>43</v>
      </c>
      <c r="C13" s="9" t="s">
        <v>70</v>
      </c>
      <c r="D13" s="9" t="s">
        <v>71</v>
      </c>
      <c r="E13" s="10" t="s">
        <v>27</v>
      </c>
      <c r="F13" s="11" t="s">
        <v>58</v>
      </c>
      <c r="G13" s="12" t="s">
        <v>12</v>
      </c>
      <c r="H13" s="3"/>
      <c r="I13"/>
    </row>
    <row r="14" spans="1:9" ht="32.25" customHeight="1" x14ac:dyDescent="0.25">
      <c r="B14" s="8" t="s">
        <v>44</v>
      </c>
      <c r="C14" s="9" t="s">
        <v>72</v>
      </c>
      <c r="D14" s="9" t="s">
        <v>73</v>
      </c>
      <c r="E14" s="10" t="s">
        <v>26</v>
      </c>
      <c r="F14" s="11" t="s">
        <v>58</v>
      </c>
      <c r="G14" s="12" t="s">
        <v>101</v>
      </c>
      <c r="H14" s="3"/>
    </row>
    <row r="15" spans="1:9" ht="32.25" customHeight="1" x14ac:dyDescent="0.25">
      <c r="B15" s="8" t="s">
        <v>45</v>
      </c>
      <c r="C15" s="9" t="s">
        <v>74</v>
      </c>
      <c r="D15" s="9" t="s">
        <v>75</v>
      </c>
      <c r="E15" s="10" t="s">
        <v>27</v>
      </c>
      <c r="F15" s="11" t="s">
        <v>58</v>
      </c>
      <c r="G15" s="12" t="s">
        <v>12</v>
      </c>
      <c r="H15" s="3"/>
    </row>
    <row r="16" spans="1:9" ht="32.25" customHeight="1" x14ac:dyDescent="0.25">
      <c r="B16" s="8" t="s">
        <v>46</v>
      </c>
      <c r="C16" s="9" t="s">
        <v>76</v>
      </c>
      <c r="D16" s="9" t="s">
        <v>77</v>
      </c>
      <c r="E16" s="10" t="s">
        <v>23</v>
      </c>
      <c r="F16" s="11" t="s">
        <v>58</v>
      </c>
      <c r="G16" s="12" t="s">
        <v>12</v>
      </c>
      <c r="H16" s="3"/>
    </row>
    <row r="17" spans="2:8" ht="32.25" customHeight="1" x14ac:dyDescent="0.25">
      <c r="B17" s="8" t="s">
        <v>47</v>
      </c>
      <c r="C17" s="9" t="s">
        <v>78</v>
      </c>
      <c r="D17" s="9" t="s">
        <v>79</v>
      </c>
      <c r="E17" s="10" t="s">
        <v>22</v>
      </c>
      <c r="F17" s="11" t="s">
        <v>58</v>
      </c>
      <c r="G17" s="12" t="s">
        <v>12</v>
      </c>
      <c r="H17" s="3"/>
    </row>
    <row r="18" spans="2:8" ht="32.25" customHeight="1" x14ac:dyDescent="0.25">
      <c r="B18" s="8" t="s">
        <v>48</v>
      </c>
      <c r="C18" s="9" t="s">
        <v>81</v>
      </c>
      <c r="D18" s="9" t="s">
        <v>80</v>
      </c>
      <c r="E18" s="10" t="s">
        <v>24</v>
      </c>
      <c r="F18" s="11" t="s">
        <v>58</v>
      </c>
      <c r="G18" s="12" t="s">
        <v>12</v>
      </c>
      <c r="H18" s="3"/>
    </row>
    <row r="19" spans="2:8" ht="44.25" customHeight="1" x14ac:dyDescent="0.25">
      <c r="B19" s="8" t="s">
        <v>49</v>
      </c>
      <c r="C19" s="25" t="s">
        <v>82</v>
      </c>
      <c r="D19" s="25" t="s">
        <v>83</v>
      </c>
      <c r="E19" s="10" t="s">
        <v>24</v>
      </c>
      <c r="F19" s="11" t="s">
        <v>58</v>
      </c>
      <c r="G19" s="12" t="s">
        <v>12</v>
      </c>
      <c r="H19" s="3"/>
    </row>
    <row r="20" spans="2:8" ht="32.25" customHeight="1" x14ac:dyDescent="0.25">
      <c r="B20" s="8" t="s">
        <v>50</v>
      </c>
      <c r="C20" s="9" t="s">
        <v>85</v>
      </c>
      <c r="D20" s="9" t="s">
        <v>86</v>
      </c>
      <c r="E20" s="10" t="s">
        <v>23</v>
      </c>
      <c r="F20" s="11" t="s">
        <v>58</v>
      </c>
      <c r="G20" s="12" t="s">
        <v>12</v>
      </c>
      <c r="H20" s="3"/>
    </row>
    <row r="21" spans="2:8" ht="32.25" customHeight="1" x14ac:dyDescent="0.25">
      <c r="B21" s="8" t="s">
        <v>51</v>
      </c>
      <c r="C21" s="9" t="s">
        <v>87</v>
      </c>
      <c r="D21" s="9" t="s">
        <v>88</v>
      </c>
      <c r="E21" s="10" t="s">
        <v>22</v>
      </c>
      <c r="F21" s="11" t="s">
        <v>58</v>
      </c>
      <c r="G21" s="12" t="s">
        <v>101</v>
      </c>
      <c r="H21" s="3"/>
    </row>
    <row r="22" spans="2:8" ht="32.25" customHeight="1" x14ac:dyDescent="0.25">
      <c r="B22" s="8" t="s">
        <v>52</v>
      </c>
      <c r="C22" s="9" t="s">
        <v>89</v>
      </c>
      <c r="D22" s="25" t="s">
        <v>90</v>
      </c>
      <c r="E22" s="10" t="s">
        <v>25</v>
      </c>
      <c r="F22" s="11" t="s">
        <v>58</v>
      </c>
      <c r="G22" s="12" t="s">
        <v>12</v>
      </c>
      <c r="H22" s="3"/>
    </row>
    <row r="23" spans="2:8" ht="32.25" customHeight="1" x14ac:dyDescent="0.25">
      <c r="B23" s="8" t="s">
        <v>53</v>
      </c>
      <c r="C23" s="9" t="s">
        <v>91</v>
      </c>
      <c r="D23" s="9" t="s">
        <v>92</v>
      </c>
      <c r="E23" s="10" t="s">
        <v>24</v>
      </c>
      <c r="F23" s="11" t="s">
        <v>58</v>
      </c>
      <c r="G23" s="12" t="s">
        <v>12</v>
      </c>
      <c r="H23" s="3"/>
    </row>
    <row r="24" spans="2:8" ht="32.25" customHeight="1" x14ac:dyDescent="0.25">
      <c r="B24" s="8" t="s">
        <v>54</v>
      </c>
      <c r="C24" s="9" t="s">
        <v>94</v>
      </c>
      <c r="D24" s="9" t="s">
        <v>93</v>
      </c>
      <c r="E24" s="10" t="s">
        <v>23</v>
      </c>
      <c r="F24" s="11" t="s">
        <v>58</v>
      </c>
      <c r="G24" s="12" t="s">
        <v>12</v>
      </c>
      <c r="H24" s="3"/>
    </row>
    <row r="25" spans="2:8" ht="32.25" customHeight="1" x14ac:dyDescent="0.25">
      <c r="B25" s="8" t="s">
        <v>55</v>
      </c>
      <c r="C25" s="9" t="s">
        <v>95</v>
      </c>
      <c r="D25" s="9" t="s">
        <v>96</v>
      </c>
      <c r="E25" s="10" t="s">
        <v>23</v>
      </c>
      <c r="F25" s="11" t="s">
        <v>58</v>
      </c>
      <c r="G25" s="12" t="s">
        <v>101</v>
      </c>
      <c r="H25" s="3"/>
    </row>
    <row r="26" spans="2:8" ht="32.25" customHeight="1" x14ac:dyDescent="0.25">
      <c r="B26" s="8" t="s">
        <v>56</v>
      </c>
      <c r="C26" s="25" t="s">
        <v>97</v>
      </c>
      <c r="D26" s="9" t="s">
        <v>98</v>
      </c>
      <c r="E26" s="10" t="s">
        <v>24</v>
      </c>
      <c r="F26" s="11" t="s">
        <v>58</v>
      </c>
      <c r="G26" s="12" t="s">
        <v>12</v>
      </c>
      <c r="H26" s="3"/>
    </row>
    <row r="27" spans="2:8" ht="32.25" customHeight="1" x14ac:dyDescent="0.25">
      <c r="B27" s="8" t="s">
        <v>57</v>
      </c>
      <c r="C27" s="25" t="s">
        <v>99</v>
      </c>
      <c r="D27" s="9" t="s">
        <v>100</v>
      </c>
      <c r="E27" s="10" t="s">
        <v>24</v>
      </c>
      <c r="F27" s="11" t="s">
        <v>58</v>
      </c>
      <c r="G27" s="12" t="s">
        <v>101</v>
      </c>
      <c r="H27" s="3"/>
    </row>
    <row r="28" spans="2:8" ht="32.25" customHeight="1" x14ac:dyDescent="0.25">
      <c r="B28" s="8"/>
      <c r="C28" s="9"/>
      <c r="D28" s="9"/>
      <c r="E28" s="10"/>
      <c r="F28" s="11"/>
      <c r="G28" s="12"/>
      <c r="H28" s="3"/>
    </row>
    <row r="29" spans="2:8" ht="32.25" customHeight="1" x14ac:dyDescent="0.25">
      <c r="B29" s="8"/>
      <c r="C29" s="9"/>
      <c r="D29" s="9"/>
      <c r="E29" s="10"/>
      <c r="F29" s="11"/>
      <c r="G29" s="12"/>
      <c r="H29" s="3"/>
    </row>
    <row r="30" spans="2:8" ht="32.25" customHeight="1" x14ac:dyDescent="0.25"/>
    <row r="31" spans="2:8" ht="32.25" customHeight="1" x14ac:dyDescent="0.25"/>
    <row r="32" spans="2:8" ht="32.25" customHeight="1" x14ac:dyDescent="0.25"/>
    <row r="33" ht="32.25" customHeight="1" x14ac:dyDescent="0.25"/>
    <row r="34" ht="32.25" customHeight="1" x14ac:dyDescent="0.25"/>
    <row r="35" ht="32.25" customHeight="1" x14ac:dyDescent="0.25"/>
    <row r="36" ht="32.25" customHeight="1" x14ac:dyDescent="0.25"/>
    <row r="37" ht="32.25" customHeight="1" x14ac:dyDescent="0.25"/>
    <row r="38" ht="32.25" customHeight="1" x14ac:dyDescent="0.25"/>
    <row r="39" ht="32.25" customHeight="1" x14ac:dyDescent="0.25"/>
    <row r="40" ht="32.25" customHeight="1" x14ac:dyDescent="0.25"/>
    <row r="41" ht="32.25" customHeight="1" x14ac:dyDescent="0.25"/>
    <row r="42" ht="32.25" customHeight="1" x14ac:dyDescent="0.25"/>
    <row r="43" ht="32.25" customHeight="1" x14ac:dyDescent="0.25"/>
    <row r="44" ht="32.25" customHeight="1" x14ac:dyDescent="0.25"/>
    <row r="45" ht="32.25" customHeight="1" x14ac:dyDescent="0.25"/>
    <row r="46" ht="32.25" customHeight="1" x14ac:dyDescent="0.25"/>
    <row r="47" ht="32.25" customHeight="1" x14ac:dyDescent="0.25"/>
    <row r="48" ht="32.25" customHeight="1" x14ac:dyDescent="0.25"/>
    <row r="49" ht="32.25" customHeight="1" x14ac:dyDescent="0.25"/>
    <row r="50" ht="32.25" customHeight="1" x14ac:dyDescent="0.25"/>
    <row r="51" ht="32.25" customHeight="1" x14ac:dyDescent="0.25"/>
    <row r="52" ht="32.25" customHeight="1" x14ac:dyDescent="0.25"/>
    <row r="53" ht="32.25" customHeight="1" x14ac:dyDescent="0.25"/>
    <row r="54" ht="32.25" customHeight="1" x14ac:dyDescent="0.25"/>
    <row r="55" ht="32.25" customHeight="1" x14ac:dyDescent="0.25"/>
    <row r="56" ht="32.25" customHeight="1" x14ac:dyDescent="0.25"/>
    <row r="57" ht="32.25" customHeight="1" x14ac:dyDescent="0.25"/>
    <row r="58" ht="32.25" customHeight="1" x14ac:dyDescent="0.25"/>
    <row r="59" ht="32.25" customHeight="1" x14ac:dyDescent="0.25"/>
    <row r="60" ht="32.25" customHeight="1" x14ac:dyDescent="0.25"/>
    <row r="61" ht="32.25" customHeight="1" x14ac:dyDescent="0.25"/>
    <row r="62" ht="32.25" customHeight="1" x14ac:dyDescent="0.25"/>
    <row r="63" ht="32.25" customHeight="1" x14ac:dyDescent="0.25"/>
    <row r="64" ht="32.25" customHeight="1" x14ac:dyDescent="0.25"/>
    <row r="65" ht="32.25" customHeight="1" x14ac:dyDescent="0.25"/>
    <row r="66" ht="32.25" customHeight="1" x14ac:dyDescent="0.25"/>
    <row r="67" ht="32.25" customHeight="1" x14ac:dyDescent="0.25"/>
    <row r="68" ht="32.25" customHeight="1" x14ac:dyDescent="0.25"/>
    <row r="69" ht="32.25" customHeight="1" x14ac:dyDescent="0.25"/>
    <row r="70" ht="32.25" customHeight="1" x14ac:dyDescent="0.25"/>
    <row r="71" ht="32.25" customHeight="1" x14ac:dyDescent="0.25"/>
    <row r="72" ht="32.25" customHeight="1" x14ac:dyDescent="0.25"/>
    <row r="73" ht="32.25" customHeight="1" x14ac:dyDescent="0.25"/>
    <row r="74" ht="32.25" customHeight="1" x14ac:dyDescent="0.25"/>
    <row r="75" ht="32.25" customHeight="1" x14ac:dyDescent="0.25"/>
    <row r="76" ht="32.25" customHeight="1" x14ac:dyDescent="0.25"/>
    <row r="77" ht="32.25" customHeight="1" x14ac:dyDescent="0.25"/>
    <row r="78" ht="32.25" customHeight="1" x14ac:dyDescent="0.25"/>
    <row r="79" ht="32.25" customHeight="1" x14ac:dyDescent="0.25"/>
    <row r="80" ht="32.25" customHeight="1" x14ac:dyDescent="0.25"/>
    <row r="81" ht="32.25" customHeight="1" x14ac:dyDescent="0.25"/>
    <row r="82" ht="32.25" customHeight="1" x14ac:dyDescent="0.25"/>
    <row r="83" ht="32.25" customHeight="1" x14ac:dyDescent="0.25"/>
    <row r="84" ht="32.25" customHeight="1" x14ac:dyDescent="0.25"/>
    <row r="85" ht="32.25" customHeight="1" x14ac:dyDescent="0.25"/>
    <row r="86" ht="32.25" customHeight="1" x14ac:dyDescent="0.25"/>
    <row r="87" ht="32.25" customHeight="1" x14ac:dyDescent="0.25"/>
    <row r="88" ht="32.25" customHeight="1" x14ac:dyDescent="0.25"/>
    <row r="89" ht="32.25" customHeight="1" x14ac:dyDescent="0.25"/>
    <row r="90" ht="32.25" customHeight="1" x14ac:dyDescent="0.25"/>
    <row r="91" ht="32.25" customHeight="1" x14ac:dyDescent="0.25"/>
    <row r="92" ht="32.25" customHeight="1" x14ac:dyDescent="0.25"/>
    <row r="93" ht="32.25" customHeight="1" x14ac:dyDescent="0.25"/>
    <row r="94" ht="32.25" customHeight="1" x14ac:dyDescent="0.25"/>
    <row r="95" ht="32.25" customHeight="1" x14ac:dyDescent="0.25"/>
    <row r="96" ht="32.25" customHeight="1" x14ac:dyDescent="0.25"/>
    <row r="97" ht="32.25" customHeight="1" x14ac:dyDescent="0.25"/>
    <row r="98" ht="32.25" customHeight="1" x14ac:dyDescent="0.25"/>
    <row r="99" ht="32.25" customHeight="1" x14ac:dyDescent="0.25"/>
    <row r="100" ht="32.25" customHeight="1" x14ac:dyDescent="0.25"/>
    <row r="101" ht="32.25" customHeight="1" x14ac:dyDescent="0.25"/>
    <row r="102" ht="32.25" customHeight="1" x14ac:dyDescent="0.25"/>
    <row r="103" ht="32.25" customHeight="1" x14ac:dyDescent="0.25"/>
    <row r="104" ht="32.25" customHeight="1" x14ac:dyDescent="0.25"/>
    <row r="105" ht="32.25" customHeight="1" x14ac:dyDescent="0.25"/>
    <row r="106" ht="32.25" customHeight="1" x14ac:dyDescent="0.25"/>
    <row r="107" ht="32.25" customHeight="1" x14ac:dyDescent="0.25"/>
    <row r="108" ht="32.25" customHeight="1" x14ac:dyDescent="0.25"/>
    <row r="109" ht="32.25" customHeight="1" x14ac:dyDescent="0.25"/>
    <row r="110" ht="32.25" customHeight="1" x14ac:dyDescent="0.25"/>
    <row r="111" ht="32.25" customHeight="1" x14ac:dyDescent="0.25"/>
    <row r="112" ht="32.25" customHeight="1" x14ac:dyDescent="0.25"/>
    <row r="113" ht="32.25" customHeight="1" x14ac:dyDescent="0.25"/>
    <row r="114" ht="32.25" customHeight="1" x14ac:dyDescent="0.25"/>
    <row r="115" ht="32.25" customHeight="1" x14ac:dyDescent="0.25"/>
    <row r="116" ht="32.25" customHeight="1" x14ac:dyDescent="0.25"/>
    <row r="117" ht="32.25" customHeight="1" x14ac:dyDescent="0.25"/>
    <row r="118" ht="32.25" customHeight="1" x14ac:dyDescent="0.25"/>
    <row r="119" ht="32.25" customHeight="1" x14ac:dyDescent="0.25"/>
    <row r="120" ht="32.25" customHeight="1" x14ac:dyDescent="0.25"/>
    <row r="121" ht="32.25" customHeight="1" x14ac:dyDescent="0.25"/>
    <row r="122" ht="32.25" customHeight="1" x14ac:dyDescent="0.25"/>
    <row r="123" ht="32.25" customHeight="1" x14ac:dyDescent="0.25"/>
    <row r="124" ht="32.25" customHeight="1" x14ac:dyDescent="0.25"/>
    <row r="125" ht="32.25" customHeight="1" x14ac:dyDescent="0.25"/>
    <row r="126" ht="32.25" customHeight="1" x14ac:dyDescent="0.25"/>
    <row r="127" ht="32.25" customHeight="1" x14ac:dyDescent="0.25"/>
    <row r="128" ht="32.25" customHeight="1" x14ac:dyDescent="0.25"/>
    <row r="129" ht="32.25" customHeight="1" x14ac:dyDescent="0.25"/>
    <row r="130" ht="32.25" customHeight="1" x14ac:dyDescent="0.25"/>
    <row r="131" ht="32.25" customHeight="1" x14ac:dyDescent="0.25"/>
    <row r="132" ht="32.25" customHeight="1" x14ac:dyDescent="0.25"/>
    <row r="133" ht="32.25" customHeight="1" x14ac:dyDescent="0.25"/>
    <row r="134" ht="32.25" customHeight="1" x14ac:dyDescent="0.25"/>
    <row r="135" ht="32.25" customHeight="1" x14ac:dyDescent="0.25"/>
    <row r="136" ht="32.25" customHeight="1" x14ac:dyDescent="0.25"/>
    <row r="137" ht="32.25" customHeight="1" x14ac:dyDescent="0.25"/>
    <row r="138" ht="32.25" customHeight="1" x14ac:dyDescent="0.25"/>
    <row r="139" ht="32.25" customHeight="1" x14ac:dyDescent="0.25"/>
    <row r="140" ht="32.25" customHeight="1" x14ac:dyDescent="0.25"/>
    <row r="141" ht="32.25" customHeight="1" x14ac:dyDescent="0.25"/>
    <row r="142" ht="32.25" customHeight="1" x14ac:dyDescent="0.25"/>
    <row r="143" ht="32.25" customHeight="1" x14ac:dyDescent="0.25"/>
    <row r="144" ht="32.25" customHeight="1" x14ac:dyDescent="0.25"/>
    <row r="145" ht="32.25" customHeight="1" x14ac:dyDescent="0.25"/>
    <row r="146" ht="32.25" customHeight="1" x14ac:dyDescent="0.25"/>
    <row r="147" ht="32.25" customHeight="1" x14ac:dyDescent="0.25"/>
    <row r="148" ht="32.25" customHeight="1" x14ac:dyDescent="0.25"/>
    <row r="149" ht="32.25" customHeight="1" x14ac:dyDescent="0.25"/>
    <row r="150" ht="32.25" customHeight="1" x14ac:dyDescent="0.25"/>
    <row r="151" ht="32.25" customHeight="1" x14ac:dyDescent="0.25"/>
    <row r="152" ht="32.25" customHeight="1" x14ac:dyDescent="0.25"/>
    <row r="153" ht="32.25" customHeight="1" x14ac:dyDescent="0.25"/>
    <row r="154" ht="32.25" customHeight="1" x14ac:dyDescent="0.25"/>
    <row r="155" ht="32.25" customHeight="1" x14ac:dyDescent="0.25"/>
    <row r="156" ht="32.25" customHeight="1" x14ac:dyDescent="0.25"/>
    <row r="157" ht="32.25" customHeight="1" x14ac:dyDescent="0.25"/>
    <row r="158" ht="32.25" customHeight="1" x14ac:dyDescent="0.25"/>
    <row r="159" ht="32.25" customHeight="1" x14ac:dyDescent="0.25"/>
    <row r="160" ht="32.25" customHeight="1" x14ac:dyDescent="0.25"/>
    <row r="161" ht="32.25" customHeight="1" x14ac:dyDescent="0.25"/>
    <row r="162" ht="32.25" customHeight="1" x14ac:dyDescent="0.25"/>
    <row r="163" ht="32.25" customHeight="1" x14ac:dyDescent="0.25"/>
    <row r="164" ht="32.25" customHeight="1" x14ac:dyDescent="0.25"/>
    <row r="165" ht="32.25" customHeight="1" x14ac:dyDescent="0.25"/>
    <row r="166" ht="32.25" customHeight="1" x14ac:dyDescent="0.25"/>
    <row r="167" ht="32.25" customHeight="1" x14ac:dyDescent="0.25"/>
    <row r="168" ht="32.25" customHeight="1" x14ac:dyDescent="0.25"/>
    <row r="169" ht="32.25" customHeight="1" x14ac:dyDescent="0.25"/>
    <row r="170" ht="32.25" customHeight="1" x14ac:dyDescent="0.25"/>
    <row r="171" ht="32.25" customHeight="1" x14ac:dyDescent="0.25"/>
    <row r="172" ht="32.25" customHeight="1" x14ac:dyDescent="0.25"/>
    <row r="173" ht="32.25" customHeight="1" x14ac:dyDescent="0.25"/>
    <row r="174" ht="32.25" customHeight="1" x14ac:dyDescent="0.25"/>
    <row r="175" ht="32.25" customHeight="1" x14ac:dyDescent="0.25"/>
    <row r="176" ht="32.25" customHeight="1" x14ac:dyDescent="0.25"/>
    <row r="177" ht="32.25" customHeight="1" x14ac:dyDescent="0.25"/>
    <row r="178" ht="32.25" customHeight="1" x14ac:dyDescent="0.25"/>
    <row r="179" ht="32.25" customHeight="1" x14ac:dyDescent="0.25"/>
    <row r="180" ht="32.25" customHeight="1" x14ac:dyDescent="0.25"/>
    <row r="181" ht="32.25" customHeight="1" x14ac:dyDescent="0.25"/>
    <row r="182" ht="32.25" customHeight="1" x14ac:dyDescent="0.25"/>
    <row r="183" ht="32.25" customHeight="1" x14ac:dyDescent="0.25"/>
    <row r="184" ht="32.25" customHeight="1" x14ac:dyDescent="0.25"/>
    <row r="185" ht="32.25" customHeight="1" x14ac:dyDescent="0.25"/>
    <row r="186" ht="32.25" customHeight="1" x14ac:dyDescent="0.25"/>
    <row r="187" ht="32.25" customHeight="1" x14ac:dyDescent="0.25"/>
    <row r="188" ht="32.25" customHeight="1" x14ac:dyDescent="0.25"/>
    <row r="189" ht="32.25" customHeight="1" x14ac:dyDescent="0.25"/>
    <row r="190" ht="32.25" customHeight="1" x14ac:dyDescent="0.25"/>
    <row r="191" ht="32.25" customHeight="1" x14ac:dyDescent="0.25"/>
    <row r="192" ht="32.25" customHeight="1" x14ac:dyDescent="0.25"/>
    <row r="193" ht="32.25" customHeight="1" x14ac:dyDescent="0.25"/>
    <row r="194" ht="32.25" customHeight="1" x14ac:dyDescent="0.25"/>
    <row r="195" ht="32.25" customHeight="1" x14ac:dyDescent="0.25"/>
    <row r="196" ht="32.25" customHeight="1" x14ac:dyDescent="0.25"/>
    <row r="197" ht="32.25" customHeight="1" x14ac:dyDescent="0.25"/>
    <row r="198" ht="32.25" customHeight="1" x14ac:dyDescent="0.25"/>
    <row r="199" ht="32.25" customHeight="1" x14ac:dyDescent="0.25"/>
    <row r="200" ht="32.25" customHeight="1" x14ac:dyDescent="0.25"/>
    <row r="201" ht="32.25" customHeight="1" x14ac:dyDescent="0.25"/>
    <row r="202" ht="32.25" customHeight="1" x14ac:dyDescent="0.25"/>
    <row r="203" ht="32.25" customHeight="1" x14ac:dyDescent="0.25"/>
    <row r="204" ht="32.25" customHeight="1" x14ac:dyDescent="0.25"/>
    <row r="205" ht="32.25" customHeight="1" x14ac:dyDescent="0.25"/>
    <row r="206" ht="32.25" customHeight="1" x14ac:dyDescent="0.25"/>
    <row r="207" ht="32.25" customHeight="1" x14ac:dyDescent="0.25"/>
    <row r="208" ht="32.25" customHeight="1" x14ac:dyDescent="0.25"/>
    <row r="209" ht="32.25" customHeight="1" x14ac:dyDescent="0.25"/>
    <row r="210" ht="32.25" customHeight="1" x14ac:dyDescent="0.25"/>
    <row r="211" ht="32.25" customHeight="1" x14ac:dyDescent="0.25"/>
    <row r="212" ht="32.25" customHeight="1" x14ac:dyDescent="0.25"/>
    <row r="213" ht="32.25" customHeight="1" x14ac:dyDescent="0.25"/>
    <row r="214" ht="32.25" customHeight="1" x14ac:dyDescent="0.25"/>
    <row r="215" ht="32.25" customHeight="1" x14ac:dyDescent="0.25"/>
    <row r="216" ht="32.25" customHeight="1" x14ac:dyDescent="0.25"/>
    <row r="217" ht="32.25" customHeight="1" x14ac:dyDescent="0.25"/>
    <row r="218" ht="32.25" customHeight="1" x14ac:dyDescent="0.25"/>
    <row r="219" ht="32.25" customHeight="1" x14ac:dyDescent="0.25"/>
    <row r="220" ht="32.25" customHeight="1" x14ac:dyDescent="0.25"/>
    <row r="221" ht="32.25" customHeight="1" x14ac:dyDescent="0.25"/>
    <row r="222" ht="32.25" customHeight="1" x14ac:dyDescent="0.25"/>
    <row r="223" ht="32.25" customHeight="1" x14ac:dyDescent="0.25"/>
    <row r="224" ht="32.25" customHeight="1" x14ac:dyDescent="0.25"/>
    <row r="225" ht="32.25" customHeight="1" x14ac:dyDescent="0.25"/>
    <row r="226" ht="32.25" customHeight="1" x14ac:dyDescent="0.25"/>
    <row r="227" ht="32.25" customHeight="1" x14ac:dyDescent="0.25"/>
    <row r="228" ht="32.25" customHeight="1" x14ac:dyDescent="0.25"/>
    <row r="229" ht="32.25" customHeight="1" x14ac:dyDescent="0.25"/>
    <row r="230" ht="32.25" customHeight="1" x14ac:dyDescent="0.25"/>
    <row r="231" ht="32.25" customHeight="1" x14ac:dyDescent="0.25"/>
    <row r="232" ht="32.25" customHeight="1" x14ac:dyDescent="0.25"/>
    <row r="233" ht="32.25" customHeight="1" x14ac:dyDescent="0.25"/>
    <row r="234" ht="32.25" customHeight="1" x14ac:dyDescent="0.25"/>
    <row r="235" ht="32.25" customHeight="1" x14ac:dyDescent="0.25"/>
    <row r="236" ht="32.25" customHeight="1" x14ac:dyDescent="0.25"/>
    <row r="237" ht="32.25" customHeight="1" x14ac:dyDescent="0.25"/>
    <row r="238" ht="32.25" customHeight="1" x14ac:dyDescent="0.25"/>
    <row r="239" ht="32.25" customHeight="1" x14ac:dyDescent="0.25"/>
    <row r="240" ht="32.25" customHeight="1" x14ac:dyDescent="0.25"/>
    <row r="241" ht="32.25" customHeight="1" x14ac:dyDescent="0.25"/>
    <row r="242" ht="32.25" customHeight="1" x14ac:dyDescent="0.25"/>
    <row r="243" ht="32.25" customHeight="1" x14ac:dyDescent="0.25"/>
    <row r="244" ht="32.25" customHeight="1" x14ac:dyDescent="0.25"/>
    <row r="245" ht="32.25" customHeight="1" x14ac:dyDescent="0.25"/>
    <row r="246" ht="32.25" customHeight="1" x14ac:dyDescent="0.25"/>
    <row r="247" ht="32.25" customHeight="1" x14ac:dyDescent="0.25"/>
    <row r="248" ht="32.25" customHeight="1" x14ac:dyDescent="0.25"/>
    <row r="249" ht="32.25" customHeight="1" x14ac:dyDescent="0.25"/>
    <row r="250" ht="32.25" customHeight="1" x14ac:dyDescent="0.25"/>
    <row r="251" ht="32.25" customHeight="1" x14ac:dyDescent="0.25"/>
    <row r="252" ht="32.25" customHeight="1" x14ac:dyDescent="0.25"/>
    <row r="253" ht="32.25" customHeight="1" x14ac:dyDescent="0.25"/>
    <row r="254" ht="32.25" customHeight="1" x14ac:dyDescent="0.25"/>
    <row r="255" ht="32.25" customHeight="1" x14ac:dyDescent="0.25"/>
    <row r="256" ht="32.25" customHeight="1" x14ac:dyDescent="0.25"/>
    <row r="257" ht="32.25" customHeight="1" x14ac:dyDescent="0.25"/>
    <row r="258" ht="32.25" customHeight="1" x14ac:dyDescent="0.25"/>
    <row r="259" ht="32.25" customHeight="1" x14ac:dyDescent="0.25"/>
    <row r="260" ht="32.25" customHeight="1" x14ac:dyDescent="0.25"/>
    <row r="261" ht="32.25" customHeight="1" x14ac:dyDescent="0.25"/>
    <row r="262" ht="32.25" customHeight="1" x14ac:dyDescent="0.25"/>
    <row r="263" ht="32.25" customHeight="1" x14ac:dyDescent="0.25"/>
    <row r="264" ht="32.25" customHeight="1" x14ac:dyDescent="0.25"/>
    <row r="265" ht="32.25" customHeight="1" x14ac:dyDescent="0.25"/>
    <row r="266" ht="32.25" customHeight="1" x14ac:dyDescent="0.25"/>
    <row r="267" ht="32.25" customHeight="1" x14ac:dyDescent="0.25"/>
    <row r="268" ht="32.25" customHeight="1" x14ac:dyDescent="0.25"/>
    <row r="269" ht="32.25" customHeight="1" x14ac:dyDescent="0.25"/>
    <row r="270" ht="32.25" customHeight="1" x14ac:dyDescent="0.25"/>
    <row r="271" ht="32.25" customHeight="1" x14ac:dyDescent="0.25"/>
    <row r="272" ht="32.25" customHeight="1" x14ac:dyDescent="0.25"/>
    <row r="273" ht="32.25" customHeight="1" x14ac:dyDescent="0.25"/>
    <row r="274" ht="32.25" customHeight="1" x14ac:dyDescent="0.25"/>
    <row r="275" ht="32.25" customHeight="1" x14ac:dyDescent="0.25"/>
    <row r="276" ht="32.25" customHeight="1" x14ac:dyDescent="0.25"/>
    <row r="277" ht="32.25" customHeight="1" x14ac:dyDescent="0.25"/>
    <row r="278" ht="32.25" customHeight="1" x14ac:dyDescent="0.25"/>
    <row r="279" ht="32.25" customHeight="1" x14ac:dyDescent="0.25"/>
    <row r="280" ht="32.25" customHeight="1" x14ac:dyDescent="0.25"/>
    <row r="281" ht="32.25" customHeight="1" x14ac:dyDescent="0.25"/>
    <row r="282" ht="32.25" customHeight="1" x14ac:dyDescent="0.25"/>
    <row r="283" ht="32.25" customHeight="1" x14ac:dyDescent="0.25"/>
    <row r="284" ht="32.25" customHeight="1" x14ac:dyDescent="0.25"/>
    <row r="285" ht="32.25" customHeight="1" x14ac:dyDescent="0.25"/>
    <row r="286" ht="32.25" customHeight="1" x14ac:dyDescent="0.25"/>
    <row r="287" ht="32.25" customHeight="1" x14ac:dyDescent="0.25"/>
    <row r="288" ht="32.25" customHeight="1" x14ac:dyDescent="0.25"/>
    <row r="289" ht="32.25" customHeight="1" x14ac:dyDescent="0.25"/>
    <row r="290" ht="32.25" customHeight="1" x14ac:dyDescent="0.25"/>
    <row r="291" ht="32.25" customHeight="1" x14ac:dyDescent="0.25"/>
    <row r="292" ht="32.25" customHeight="1" x14ac:dyDescent="0.25"/>
    <row r="293" ht="32.25" customHeight="1" x14ac:dyDescent="0.25"/>
    <row r="294" ht="32.25" customHeight="1" x14ac:dyDescent="0.25"/>
    <row r="295" ht="32.25" customHeight="1" x14ac:dyDescent="0.25"/>
    <row r="296" ht="32.25" customHeight="1" x14ac:dyDescent="0.25"/>
    <row r="297" ht="32.25" customHeight="1" x14ac:dyDescent="0.25"/>
    <row r="298" ht="32.25" customHeight="1" x14ac:dyDescent="0.25"/>
    <row r="299" ht="32.25" customHeight="1" x14ac:dyDescent="0.25"/>
    <row r="300" ht="32.25" customHeight="1" x14ac:dyDescent="0.25"/>
    <row r="301" ht="32.25" customHeight="1" x14ac:dyDescent="0.25"/>
    <row r="302" ht="32.25" customHeight="1" x14ac:dyDescent="0.25"/>
    <row r="303" ht="32.25" customHeight="1" x14ac:dyDescent="0.25"/>
    <row r="304" ht="32.25" customHeight="1" x14ac:dyDescent="0.25"/>
    <row r="305" ht="32.25" customHeight="1" x14ac:dyDescent="0.25"/>
    <row r="306" ht="32.25" customHeight="1" x14ac:dyDescent="0.25"/>
    <row r="307" ht="32.25" customHeight="1" x14ac:dyDescent="0.25"/>
    <row r="308" ht="32.25" customHeight="1" x14ac:dyDescent="0.25"/>
    <row r="309" ht="32.25" customHeight="1" x14ac:dyDescent="0.25"/>
    <row r="310" ht="32.25" customHeight="1" x14ac:dyDescent="0.25"/>
    <row r="311" ht="32.25" customHeight="1" x14ac:dyDescent="0.25"/>
    <row r="312" ht="32.25" customHeight="1" x14ac:dyDescent="0.25"/>
    <row r="313" ht="32.25" customHeight="1" x14ac:dyDescent="0.25"/>
    <row r="314" ht="32.25" customHeight="1" x14ac:dyDescent="0.25"/>
    <row r="315" ht="32.25" customHeight="1" x14ac:dyDescent="0.25"/>
    <row r="316" ht="32.25" customHeight="1" x14ac:dyDescent="0.25"/>
    <row r="317" ht="32.25" customHeight="1" x14ac:dyDescent="0.25"/>
    <row r="318" ht="32.25" customHeight="1" x14ac:dyDescent="0.25"/>
    <row r="319" ht="32.25" customHeight="1" x14ac:dyDescent="0.25"/>
    <row r="320" ht="32.25" customHeight="1" x14ac:dyDescent="0.25"/>
    <row r="321" ht="32.25" customHeight="1" x14ac:dyDescent="0.25"/>
    <row r="322" ht="32.25" customHeight="1" x14ac:dyDescent="0.25"/>
    <row r="323" ht="32.25" customHeight="1" x14ac:dyDescent="0.25"/>
    <row r="324" ht="32.25" customHeight="1" x14ac:dyDescent="0.25"/>
    <row r="325" ht="32.25" customHeight="1" x14ac:dyDescent="0.25"/>
    <row r="326" ht="32.25" customHeight="1" x14ac:dyDescent="0.25"/>
    <row r="327" ht="32.25" customHeight="1" x14ac:dyDescent="0.25"/>
    <row r="328" ht="32.25" customHeight="1" x14ac:dyDescent="0.25"/>
    <row r="329" ht="32.25" customHeight="1" x14ac:dyDescent="0.25"/>
    <row r="330" ht="32.25" customHeight="1" x14ac:dyDescent="0.25"/>
    <row r="331" ht="32.25" customHeight="1" x14ac:dyDescent="0.25"/>
    <row r="332" ht="32.25" customHeight="1" x14ac:dyDescent="0.25"/>
    <row r="333" ht="32.25" customHeight="1" x14ac:dyDescent="0.25"/>
    <row r="334" ht="32.25" customHeight="1" x14ac:dyDescent="0.25"/>
    <row r="335" ht="32.25" customHeight="1" x14ac:dyDescent="0.25"/>
    <row r="336" ht="32.25" customHeight="1" x14ac:dyDescent="0.25"/>
    <row r="337" ht="32.25" customHeight="1" x14ac:dyDescent="0.25"/>
    <row r="338" ht="32.25" customHeight="1" x14ac:dyDescent="0.25"/>
    <row r="339" ht="32.25" customHeight="1" x14ac:dyDescent="0.25"/>
    <row r="340" ht="32.25" customHeight="1" x14ac:dyDescent="0.25"/>
    <row r="341" ht="32.25" customHeight="1" x14ac:dyDescent="0.25"/>
    <row r="342" ht="32.25" customHeight="1" x14ac:dyDescent="0.25"/>
    <row r="343" ht="32.25" customHeight="1" x14ac:dyDescent="0.25"/>
    <row r="344" ht="32.25" customHeight="1" x14ac:dyDescent="0.25"/>
    <row r="345" ht="32.25" customHeight="1" x14ac:dyDescent="0.25"/>
    <row r="346" ht="32.25" customHeight="1" x14ac:dyDescent="0.25"/>
    <row r="347" ht="32.25" customHeight="1" x14ac:dyDescent="0.25"/>
    <row r="348" ht="32.25" customHeight="1" x14ac:dyDescent="0.25"/>
    <row r="349" ht="32.25" customHeight="1" x14ac:dyDescent="0.25"/>
    <row r="350" ht="32.25" customHeight="1" x14ac:dyDescent="0.25"/>
    <row r="351" ht="32.25" customHeight="1" x14ac:dyDescent="0.25"/>
    <row r="352" ht="32.25" customHeight="1" x14ac:dyDescent="0.25"/>
    <row r="353" ht="32.25" customHeight="1" x14ac:dyDescent="0.25"/>
    <row r="354" ht="32.25" customHeight="1" x14ac:dyDescent="0.25"/>
    <row r="355" ht="32.25" customHeight="1" x14ac:dyDescent="0.25"/>
    <row r="356" ht="32.25" customHeight="1" x14ac:dyDescent="0.25"/>
    <row r="357" ht="32.25" customHeight="1" x14ac:dyDescent="0.25"/>
    <row r="358" ht="32.25" customHeight="1" x14ac:dyDescent="0.25"/>
    <row r="359" ht="32.25" customHeight="1" x14ac:dyDescent="0.25"/>
    <row r="360" ht="32.25" customHeight="1" x14ac:dyDescent="0.25"/>
    <row r="361" ht="32.25" customHeight="1" x14ac:dyDescent="0.25"/>
    <row r="362" ht="32.25" customHeight="1" x14ac:dyDescent="0.25"/>
    <row r="363" ht="32.25" customHeight="1" x14ac:dyDescent="0.25"/>
    <row r="364" ht="32.25" customHeight="1" x14ac:dyDescent="0.25"/>
    <row r="365" ht="32.25" customHeight="1" x14ac:dyDescent="0.25"/>
    <row r="366" ht="32.25" customHeight="1" x14ac:dyDescent="0.25"/>
    <row r="367" ht="32.25" customHeight="1" x14ac:dyDescent="0.25"/>
    <row r="368" ht="32.25" customHeight="1" x14ac:dyDescent="0.25"/>
    <row r="369" ht="32.25" customHeight="1" x14ac:dyDescent="0.25"/>
    <row r="370" ht="32.25" customHeight="1" x14ac:dyDescent="0.25"/>
    <row r="371" ht="32.25" customHeight="1" x14ac:dyDescent="0.25"/>
    <row r="372" ht="32.25" customHeight="1" x14ac:dyDescent="0.25"/>
    <row r="373" ht="32.25" customHeight="1" x14ac:dyDescent="0.25"/>
    <row r="374" ht="32.25" customHeight="1" x14ac:dyDescent="0.25"/>
    <row r="375" ht="32.25" customHeight="1" x14ac:dyDescent="0.25"/>
    <row r="376" ht="32.25" customHeight="1" x14ac:dyDescent="0.25"/>
    <row r="377" ht="32.25" customHeight="1" x14ac:dyDescent="0.25"/>
    <row r="378" ht="32.25" customHeight="1" x14ac:dyDescent="0.25"/>
    <row r="379" ht="32.25" customHeight="1" x14ac:dyDescent="0.25"/>
    <row r="380" ht="32.25" customHeight="1" x14ac:dyDescent="0.25"/>
    <row r="381" ht="32.25" customHeight="1" x14ac:dyDescent="0.25"/>
    <row r="382" ht="32.25" customHeight="1" x14ac:dyDescent="0.25"/>
    <row r="383" ht="32.25" customHeight="1" x14ac:dyDescent="0.25"/>
    <row r="384" ht="32.25" customHeight="1" x14ac:dyDescent="0.25"/>
    <row r="385" ht="32.25" customHeight="1" x14ac:dyDescent="0.25"/>
    <row r="386" ht="32.25" customHeight="1" x14ac:dyDescent="0.25"/>
    <row r="387" ht="32.25" customHeight="1" x14ac:dyDescent="0.25"/>
    <row r="388" ht="32.25" customHeight="1" x14ac:dyDescent="0.25"/>
    <row r="389" ht="32.25" customHeight="1" x14ac:dyDescent="0.25"/>
    <row r="390" ht="32.25" customHeight="1" x14ac:dyDescent="0.25"/>
    <row r="391" ht="32.25" customHeight="1" x14ac:dyDescent="0.25"/>
    <row r="392" ht="32.25" customHeight="1" x14ac:dyDescent="0.25"/>
    <row r="393" ht="32.25" customHeight="1" x14ac:dyDescent="0.25"/>
    <row r="394" ht="32.25" customHeight="1" x14ac:dyDescent="0.25"/>
    <row r="395" ht="32.25" customHeight="1" x14ac:dyDescent="0.25"/>
    <row r="396" ht="32.25" customHeight="1" x14ac:dyDescent="0.25"/>
    <row r="397" ht="32.25" customHeight="1" x14ac:dyDescent="0.25"/>
    <row r="398" ht="32.25" customHeight="1" x14ac:dyDescent="0.25"/>
    <row r="399" ht="32.25" customHeight="1" x14ac:dyDescent="0.25"/>
    <row r="400" ht="32.25" customHeight="1" x14ac:dyDescent="0.25"/>
    <row r="401" ht="32.25" customHeight="1" x14ac:dyDescent="0.25"/>
    <row r="402" ht="32.25" customHeight="1" x14ac:dyDescent="0.25"/>
    <row r="403" ht="32.25" customHeight="1" x14ac:dyDescent="0.25"/>
    <row r="404" ht="32.25" customHeight="1" x14ac:dyDescent="0.25"/>
    <row r="405" ht="32.25" customHeight="1" x14ac:dyDescent="0.25"/>
    <row r="406" ht="32.25" customHeight="1" x14ac:dyDescent="0.25"/>
    <row r="407" ht="32.25" customHeight="1" x14ac:dyDescent="0.25"/>
    <row r="408" ht="32.25" customHeight="1" x14ac:dyDescent="0.25"/>
    <row r="409" ht="32.25" customHeight="1" x14ac:dyDescent="0.25"/>
    <row r="410" ht="32.25" customHeight="1" x14ac:dyDescent="0.25"/>
    <row r="411" ht="32.25" customHeight="1" x14ac:dyDescent="0.25"/>
    <row r="412" ht="32.25" customHeight="1" x14ac:dyDescent="0.25"/>
    <row r="413" ht="32.25" customHeight="1" x14ac:dyDescent="0.25"/>
    <row r="414" ht="32.25" customHeight="1" x14ac:dyDescent="0.25"/>
    <row r="415" ht="32.25" customHeight="1" x14ac:dyDescent="0.25"/>
    <row r="416" ht="32.25" customHeight="1" x14ac:dyDescent="0.25"/>
    <row r="417" ht="32.25" customHeight="1" x14ac:dyDescent="0.25"/>
    <row r="418" ht="32.25" customHeight="1" x14ac:dyDescent="0.25"/>
    <row r="419" ht="32.25" customHeight="1" x14ac:dyDescent="0.25"/>
    <row r="420" ht="32.25" customHeight="1" x14ac:dyDescent="0.25"/>
    <row r="421" ht="32.25" customHeight="1" x14ac:dyDescent="0.25"/>
    <row r="422" ht="32.25" customHeight="1" x14ac:dyDescent="0.25"/>
    <row r="423" ht="32.25" customHeight="1" x14ac:dyDescent="0.25"/>
    <row r="424" ht="32.25" customHeight="1" x14ac:dyDescent="0.25"/>
    <row r="425" ht="32.25" customHeight="1" x14ac:dyDescent="0.25"/>
    <row r="426" ht="32.25" customHeight="1" x14ac:dyDescent="0.25"/>
    <row r="427" ht="32.25" customHeight="1" x14ac:dyDescent="0.25"/>
    <row r="428" ht="32.25" customHeight="1" x14ac:dyDescent="0.25"/>
    <row r="429" ht="32.25" customHeight="1" x14ac:dyDescent="0.25"/>
    <row r="430" ht="32.25" customHeight="1" x14ac:dyDescent="0.25"/>
    <row r="431" ht="32.25" customHeight="1" x14ac:dyDescent="0.25"/>
    <row r="432" ht="32.25" customHeight="1" x14ac:dyDescent="0.25"/>
    <row r="433" ht="32.25" customHeight="1" x14ac:dyDescent="0.25"/>
    <row r="434" ht="32.25" customHeight="1" x14ac:dyDescent="0.25"/>
    <row r="435" ht="32.25" customHeight="1" x14ac:dyDescent="0.25"/>
    <row r="436" ht="32.25" customHeight="1" x14ac:dyDescent="0.25"/>
    <row r="437" ht="32.25" customHeight="1" x14ac:dyDescent="0.25"/>
    <row r="438" ht="32.25" customHeight="1" x14ac:dyDescent="0.25"/>
    <row r="439" ht="32.25" customHeight="1" x14ac:dyDescent="0.25"/>
    <row r="440" ht="32.25" customHeight="1" x14ac:dyDescent="0.25"/>
    <row r="441" ht="32.25" customHeight="1" x14ac:dyDescent="0.25"/>
    <row r="442" ht="32.25" customHeight="1" x14ac:dyDescent="0.25"/>
    <row r="443" ht="32.25" customHeight="1" x14ac:dyDescent="0.25"/>
    <row r="444" ht="32.25" customHeight="1" x14ac:dyDescent="0.25"/>
    <row r="445" ht="32.25" customHeight="1" x14ac:dyDescent="0.25"/>
    <row r="446" ht="32.25" customHeight="1" x14ac:dyDescent="0.25"/>
    <row r="447" ht="32.25" customHeight="1" x14ac:dyDescent="0.25"/>
    <row r="448" ht="32.25" customHeight="1" x14ac:dyDescent="0.25"/>
    <row r="449" ht="32.25" customHeight="1" x14ac:dyDescent="0.25"/>
    <row r="450" ht="32.25" customHeight="1" x14ac:dyDescent="0.25"/>
    <row r="451" ht="32.25" customHeight="1" x14ac:dyDescent="0.25"/>
    <row r="452" ht="32.25" customHeight="1" x14ac:dyDescent="0.25"/>
    <row r="453" ht="32.25" customHeight="1" x14ac:dyDescent="0.25"/>
    <row r="454" ht="32.25" customHeight="1" x14ac:dyDescent="0.25"/>
    <row r="455" ht="32.25" customHeight="1" x14ac:dyDescent="0.25"/>
    <row r="456" ht="32.25" customHeight="1" x14ac:dyDescent="0.25"/>
    <row r="457" ht="32.25" customHeight="1" x14ac:dyDescent="0.25"/>
    <row r="458" ht="32.25" customHeight="1" x14ac:dyDescent="0.25"/>
    <row r="459" ht="32.25" customHeight="1" x14ac:dyDescent="0.25"/>
    <row r="460" ht="32.25" customHeight="1" x14ac:dyDescent="0.25"/>
    <row r="461" ht="32.25" customHeight="1" x14ac:dyDescent="0.25"/>
    <row r="462" ht="32.25" customHeight="1" x14ac:dyDescent="0.25"/>
    <row r="463" ht="32.25" customHeight="1" x14ac:dyDescent="0.25"/>
    <row r="464" ht="32.25" customHeight="1" x14ac:dyDescent="0.25"/>
    <row r="465" ht="32.25" customHeight="1" x14ac:dyDescent="0.25"/>
    <row r="466" ht="32.25" customHeight="1" x14ac:dyDescent="0.25"/>
    <row r="467" ht="32.25" customHeight="1" x14ac:dyDescent="0.25"/>
    <row r="468" ht="32.25" customHeight="1" x14ac:dyDescent="0.25"/>
    <row r="469" ht="32.25" customHeight="1" x14ac:dyDescent="0.25"/>
    <row r="470" ht="32.25" customHeight="1" x14ac:dyDescent="0.25"/>
    <row r="471" ht="32.25" customHeight="1" x14ac:dyDescent="0.25"/>
    <row r="472" ht="32.25" customHeight="1" x14ac:dyDescent="0.25"/>
    <row r="473" ht="32.25" customHeight="1" x14ac:dyDescent="0.25"/>
    <row r="474" ht="32.25" customHeight="1" x14ac:dyDescent="0.25"/>
    <row r="475" ht="32.25" customHeight="1" x14ac:dyDescent="0.25"/>
    <row r="476" ht="32.25" customHeight="1" x14ac:dyDescent="0.25"/>
    <row r="477" ht="32.25" customHeight="1" x14ac:dyDescent="0.25"/>
    <row r="478" ht="32.25" customHeight="1" x14ac:dyDescent="0.25"/>
    <row r="479" ht="32.25" customHeight="1" x14ac:dyDescent="0.25"/>
    <row r="480" ht="32.25" customHeight="1" x14ac:dyDescent="0.25"/>
    <row r="481" ht="32.25" customHeight="1" x14ac:dyDescent="0.25"/>
    <row r="482" ht="32.25" customHeight="1" x14ac:dyDescent="0.25"/>
    <row r="483" ht="32.25" customHeight="1" x14ac:dyDescent="0.25"/>
    <row r="484" ht="32.25" customHeight="1" x14ac:dyDescent="0.25"/>
    <row r="485" ht="32.25" customHeight="1" x14ac:dyDescent="0.25"/>
    <row r="486" ht="32.25" customHeight="1" x14ac:dyDescent="0.25"/>
    <row r="487" ht="32.25" customHeight="1" x14ac:dyDescent="0.25"/>
    <row r="488" ht="32.25" customHeight="1" x14ac:dyDescent="0.25"/>
    <row r="489" ht="32.25" customHeight="1" x14ac:dyDescent="0.25"/>
    <row r="490" ht="32.25" customHeight="1" x14ac:dyDescent="0.25"/>
    <row r="491" ht="32.25" customHeight="1" x14ac:dyDescent="0.25"/>
    <row r="492" ht="32.25" customHeight="1" x14ac:dyDescent="0.25"/>
    <row r="493" ht="32.25" customHeight="1" x14ac:dyDescent="0.25"/>
    <row r="494" ht="32.25" customHeight="1" x14ac:dyDescent="0.25"/>
    <row r="495" ht="32.25" customHeight="1" x14ac:dyDescent="0.25"/>
    <row r="496" ht="32.25" customHeight="1" x14ac:dyDescent="0.25"/>
    <row r="497" ht="32.25" customHeight="1" x14ac:dyDescent="0.25"/>
    <row r="498" ht="32.25" customHeight="1" x14ac:dyDescent="0.25"/>
    <row r="499" ht="32.25" customHeight="1" x14ac:dyDescent="0.25"/>
    <row r="500" ht="32.25" customHeight="1" x14ac:dyDescent="0.25"/>
    <row r="501" ht="32.25" customHeight="1" x14ac:dyDescent="0.25"/>
    <row r="502" ht="32.25" customHeight="1" x14ac:dyDescent="0.25"/>
    <row r="503" ht="32.25" customHeight="1" x14ac:dyDescent="0.25"/>
    <row r="504" ht="32.25" customHeight="1" x14ac:dyDescent="0.25"/>
    <row r="505" ht="32.25" customHeight="1" x14ac:dyDescent="0.25"/>
    <row r="506" ht="32.25" customHeight="1" x14ac:dyDescent="0.25"/>
    <row r="507" ht="32.25" customHeight="1" x14ac:dyDescent="0.25"/>
    <row r="508" ht="32.25" customHeight="1" x14ac:dyDescent="0.25"/>
    <row r="509" ht="32.25" customHeight="1" x14ac:dyDescent="0.25"/>
    <row r="510" ht="32.25" customHeight="1" x14ac:dyDescent="0.25"/>
    <row r="511" ht="32.25" customHeight="1" x14ac:dyDescent="0.25"/>
    <row r="512" ht="32.25" customHeight="1" x14ac:dyDescent="0.25"/>
    <row r="513" ht="32.25" customHeight="1" x14ac:dyDescent="0.25"/>
    <row r="514" ht="32.25" customHeight="1" x14ac:dyDescent="0.25"/>
    <row r="515" ht="32.25" customHeight="1" x14ac:dyDescent="0.25"/>
    <row r="516" ht="32.25" customHeight="1" x14ac:dyDescent="0.25"/>
    <row r="517" ht="32.25" customHeight="1" x14ac:dyDescent="0.25"/>
    <row r="518" ht="32.25" customHeight="1" x14ac:dyDescent="0.25"/>
    <row r="519" ht="32.25" customHeight="1" x14ac:dyDescent="0.25"/>
    <row r="520" ht="32.25" customHeight="1" x14ac:dyDescent="0.25"/>
    <row r="521" ht="32.25" customHeight="1" x14ac:dyDescent="0.25"/>
    <row r="522" ht="32.25" customHeight="1" x14ac:dyDescent="0.25"/>
    <row r="523" ht="32.25" customHeight="1" x14ac:dyDescent="0.25"/>
    <row r="524" ht="32.25" customHeight="1" x14ac:dyDescent="0.25"/>
    <row r="525" ht="32.25" customHeight="1" x14ac:dyDescent="0.25"/>
    <row r="526" ht="32.25" customHeight="1" x14ac:dyDescent="0.25"/>
    <row r="527" ht="32.25" customHeight="1" x14ac:dyDescent="0.25"/>
    <row r="528" ht="32.25" customHeight="1" x14ac:dyDescent="0.25"/>
    <row r="529" ht="32.25" customHeight="1" x14ac:dyDescent="0.25"/>
    <row r="530" ht="32.25" customHeight="1" x14ac:dyDescent="0.25"/>
    <row r="531" ht="32.25" customHeight="1" x14ac:dyDescent="0.25"/>
    <row r="532" ht="32.25" customHeight="1" x14ac:dyDescent="0.25"/>
    <row r="533" ht="32.25" customHeight="1" x14ac:dyDescent="0.25"/>
    <row r="534" ht="32.25" customHeight="1" x14ac:dyDescent="0.25"/>
    <row r="535" ht="32.25" customHeight="1" x14ac:dyDescent="0.25"/>
    <row r="536" ht="32.25" customHeight="1" x14ac:dyDescent="0.25"/>
    <row r="537" ht="32.25" customHeight="1" x14ac:dyDescent="0.25"/>
    <row r="538" ht="32.25" customHeight="1" x14ac:dyDescent="0.25"/>
    <row r="539" ht="32.25" customHeight="1" x14ac:dyDescent="0.25"/>
    <row r="540" ht="32.25" customHeight="1" x14ac:dyDescent="0.25"/>
    <row r="541" ht="32.25" customHeight="1" x14ac:dyDescent="0.25"/>
    <row r="542" ht="32.25" customHeight="1" x14ac:dyDescent="0.25"/>
    <row r="543" ht="32.25" customHeight="1" x14ac:dyDescent="0.25"/>
    <row r="544" ht="32.25" customHeight="1" x14ac:dyDescent="0.25"/>
    <row r="545" ht="32.25" customHeight="1" x14ac:dyDescent="0.25"/>
    <row r="546" ht="32.25" customHeight="1" x14ac:dyDescent="0.25"/>
    <row r="547" ht="32.25" customHeight="1" x14ac:dyDescent="0.25"/>
    <row r="548" ht="32.25" customHeight="1" x14ac:dyDescent="0.25"/>
    <row r="549" ht="32.25" customHeight="1" x14ac:dyDescent="0.25"/>
    <row r="550" ht="32.25" customHeight="1" x14ac:dyDescent="0.25"/>
    <row r="551" ht="32.25" customHeight="1" x14ac:dyDescent="0.25"/>
    <row r="552" ht="32.25" customHeight="1" x14ac:dyDescent="0.25"/>
    <row r="553" ht="32.25" customHeight="1" x14ac:dyDescent="0.25"/>
    <row r="554" ht="32.25" customHeight="1" x14ac:dyDescent="0.25"/>
    <row r="555" ht="32.25" customHeight="1" x14ac:dyDescent="0.25"/>
    <row r="556" ht="32.25" customHeight="1" x14ac:dyDescent="0.25"/>
    <row r="557" ht="32.25" customHeight="1" x14ac:dyDescent="0.25"/>
    <row r="558" ht="32.25" customHeight="1" x14ac:dyDescent="0.25"/>
    <row r="559" ht="32.25" customHeight="1" x14ac:dyDescent="0.25"/>
    <row r="560" ht="32.25" customHeight="1" x14ac:dyDescent="0.25"/>
    <row r="561" ht="32.25" customHeight="1" x14ac:dyDescent="0.25"/>
    <row r="562" ht="32.25" customHeight="1" x14ac:dyDescent="0.25"/>
    <row r="563" ht="32.25" customHeight="1" x14ac:dyDescent="0.25"/>
    <row r="564" ht="32.25" customHeight="1" x14ac:dyDescent="0.25"/>
    <row r="565" ht="32.25" customHeight="1" x14ac:dyDescent="0.25"/>
    <row r="566" ht="32.25" customHeight="1" x14ac:dyDescent="0.25"/>
    <row r="567" ht="32.25" customHeight="1" x14ac:dyDescent="0.25"/>
    <row r="568" ht="32.25" customHeight="1" x14ac:dyDescent="0.25"/>
    <row r="569" ht="32.25" customHeight="1" x14ac:dyDescent="0.25"/>
    <row r="570" ht="32.25" customHeight="1" x14ac:dyDescent="0.25"/>
    <row r="571" ht="32.25" customHeight="1" x14ac:dyDescent="0.25"/>
    <row r="572" ht="32.25" customHeight="1" x14ac:dyDescent="0.25"/>
    <row r="573" ht="32.25" customHeight="1" x14ac:dyDescent="0.25"/>
    <row r="574" ht="32.25" customHeight="1" x14ac:dyDescent="0.25"/>
    <row r="575" ht="32.25" customHeight="1" x14ac:dyDescent="0.25"/>
    <row r="576" ht="32.25" customHeight="1" x14ac:dyDescent="0.25"/>
    <row r="577" ht="32.25" customHeight="1" x14ac:dyDescent="0.25"/>
    <row r="578" ht="32.25" customHeight="1" x14ac:dyDescent="0.25"/>
    <row r="579" ht="32.25" customHeight="1" x14ac:dyDescent="0.25"/>
    <row r="580" ht="32.25" customHeight="1" x14ac:dyDescent="0.25"/>
    <row r="581" ht="32.25" customHeight="1" x14ac:dyDescent="0.25"/>
    <row r="582" ht="32.25" customHeight="1" x14ac:dyDescent="0.25"/>
    <row r="583" ht="32.25" customHeight="1" x14ac:dyDescent="0.25"/>
    <row r="584" ht="32.25" customHeight="1" x14ac:dyDescent="0.25"/>
    <row r="585" ht="32.25" customHeight="1" x14ac:dyDescent="0.25"/>
    <row r="586" ht="32.25" customHeight="1" x14ac:dyDescent="0.25"/>
    <row r="587" ht="32.25" customHeight="1" x14ac:dyDescent="0.25"/>
    <row r="588" ht="32.25" customHeight="1" x14ac:dyDescent="0.25"/>
    <row r="589" ht="32.25" customHeight="1" x14ac:dyDescent="0.25"/>
    <row r="590" ht="32.25" customHeight="1" x14ac:dyDescent="0.25"/>
    <row r="591" ht="32.25" customHeight="1" x14ac:dyDescent="0.25"/>
    <row r="592" ht="32.25" customHeight="1" x14ac:dyDescent="0.25"/>
    <row r="593" ht="32.25" customHeight="1" x14ac:dyDescent="0.25"/>
    <row r="594" ht="32.25" customHeight="1" x14ac:dyDescent="0.25"/>
    <row r="595" ht="32.25" customHeight="1" x14ac:dyDescent="0.25"/>
    <row r="596" ht="32.25" customHeight="1" x14ac:dyDescent="0.25"/>
    <row r="597" ht="32.25" customHeight="1" x14ac:dyDescent="0.25"/>
    <row r="598" ht="32.25" customHeight="1" x14ac:dyDescent="0.25"/>
    <row r="599" ht="32.25" customHeight="1" x14ac:dyDescent="0.25"/>
    <row r="600" ht="32.25" customHeight="1" x14ac:dyDescent="0.25"/>
    <row r="601" ht="32.25" customHeight="1" x14ac:dyDescent="0.25"/>
    <row r="602" ht="32.25" customHeight="1" x14ac:dyDescent="0.25"/>
    <row r="603" ht="32.25" customHeight="1" x14ac:dyDescent="0.25"/>
    <row r="604" ht="32.25" customHeight="1" x14ac:dyDescent="0.25"/>
    <row r="605" ht="32.25" customHeight="1" x14ac:dyDescent="0.25"/>
    <row r="606" ht="32.25" customHeight="1" x14ac:dyDescent="0.25"/>
    <row r="607" ht="32.25" customHeight="1" x14ac:dyDescent="0.25"/>
    <row r="608" ht="32.25" customHeight="1" x14ac:dyDescent="0.25"/>
    <row r="609" ht="32.25" customHeight="1" x14ac:dyDescent="0.25"/>
    <row r="610" ht="32.25" customHeight="1" x14ac:dyDescent="0.25"/>
    <row r="611" ht="32.25" customHeight="1" x14ac:dyDescent="0.25"/>
    <row r="612" ht="32.25" customHeight="1" x14ac:dyDescent="0.25"/>
    <row r="613" ht="32.25" customHeight="1" x14ac:dyDescent="0.25"/>
    <row r="614" ht="32.25" customHeight="1" x14ac:dyDescent="0.25"/>
    <row r="615" ht="32.25" customHeight="1" x14ac:dyDescent="0.25"/>
    <row r="616" ht="32.25" customHeight="1" x14ac:dyDescent="0.25"/>
    <row r="617" ht="32.25" customHeight="1" x14ac:dyDescent="0.25"/>
    <row r="618" ht="32.25" customHeight="1" x14ac:dyDescent="0.25"/>
    <row r="619" ht="32.25" customHeight="1" x14ac:dyDescent="0.25"/>
    <row r="620" ht="32.25" customHeight="1" x14ac:dyDescent="0.25"/>
    <row r="621" ht="32.25" customHeight="1" x14ac:dyDescent="0.25"/>
    <row r="622" ht="32.25" customHeight="1" x14ac:dyDescent="0.25"/>
    <row r="623" ht="32.25" customHeight="1" x14ac:dyDescent="0.25"/>
    <row r="624" ht="32.25" customHeight="1" x14ac:dyDescent="0.25"/>
    <row r="625" ht="32.25" customHeight="1" x14ac:dyDescent="0.25"/>
    <row r="626" ht="32.25" customHeight="1" x14ac:dyDescent="0.25"/>
    <row r="627" ht="32.25" customHeight="1" x14ac:dyDescent="0.25"/>
    <row r="628" ht="32.25" customHeight="1" x14ac:dyDescent="0.25"/>
    <row r="629" ht="32.25" customHeight="1" x14ac:dyDescent="0.25"/>
    <row r="630" ht="32.25" customHeight="1" x14ac:dyDescent="0.25"/>
    <row r="631" ht="32.25" customHeight="1" x14ac:dyDescent="0.25"/>
    <row r="632" ht="32.25" customHeight="1" x14ac:dyDescent="0.25"/>
    <row r="633" ht="32.25" customHeight="1" x14ac:dyDescent="0.25"/>
    <row r="634" ht="32.25" customHeight="1" x14ac:dyDescent="0.25"/>
    <row r="635" ht="32.25" customHeight="1" x14ac:dyDescent="0.25"/>
    <row r="636" ht="32.25" customHeight="1" x14ac:dyDescent="0.25"/>
    <row r="637" ht="32.25" customHeight="1" x14ac:dyDescent="0.25"/>
    <row r="638" ht="32.25" customHeight="1" x14ac:dyDescent="0.25"/>
    <row r="639" ht="32.25" customHeight="1" x14ac:dyDescent="0.25"/>
    <row r="640" ht="32.25" customHeight="1" x14ac:dyDescent="0.25"/>
    <row r="641" ht="32.25" customHeight="1" x14ac:dyDescent="0.25"/>
    <row r="642" ht="32.25" customHeight="1" x14ac:dyDescent="0.25"/>
    <row r="643" ht="32.25" customHeight="1" x14ac:dyDescent="0.25"/>
    <row r="644" ht="32.25" customHeight="1" x14ac:dyDescent="0.25"/>
    <row r="645" ht="32.25" customHeight="1" x14ac:dyDescent="0.25"/>
    <row r="646" ht="32.25" customHeight="1" x14ac:dyDescent="0.25"/>
    <row r="647" ht="32.25" customHeight="1" x14ac:dyDescent="0.25"/>
    <row r="648" ht="32.25" customHeight="1" x14ac:dyDescent="0.25"/>
    <row r="649" ht="32.25" customHeight="1" x14ac:dyDescent="0.25"/>
    <row r="650" ht="32.25" customHeight="1" x14ac:dyDescent="0.25"/>
    <row r="651" ht="32.25" customHeight="1" x14ac:dyDescent="0.25"/>
    <row r="652" ht="32.25" customHeight="1" x14ac:dyDescent="0.25"/>
    <row r="653" ht="32.25" customHeight="1" x14ac:dyDescent="0.25"/>
    <row r="654" ht="32.25" customHeight="1" x14ac:dyDescent="0.25"/>
    <row r="655" ht="32.25" customHeight="1" x14ac:dyDescent="0.25"/>
    <row r="656" ht="32.25" customHeight="1" x14ac:dyDescent="0.25"/>
    <row r="657" ht="32.25" customHeight="1" x14ac:dyDescent="0.25"/>
    <row r="658" ht="32.25" customHeight="1" x14ac:dyDescent="0.25"/>
    <row r="659" ht="32.25" customHeight="1" x14ac:dyDescent="0.25"/>
    <row r="660" ht="32.25" customHeight="1" x14ac:dyDescent="0.25"/>
    <row r="661" ht="32.25" customHeight="1" x14ac:dyDescent="0.25"/>
    <row r="662" ht="32.25" customHeight="1" x14ac:dyDescent="0.25"/>
    <row r="663" ht="32.25" customHeight="1" x14ac:dyDescent="0.25"/>
    <row r="664" ht="32.25" customHeight="1" x14ac:dyDescent="0.25"/>
    <row r="665" ht="32.25" customHeight="1" x14ac:dyDescent="0.25"/>
    <row r="666" ht="32.25" customHeight="1" x14ac:dyDescent="0.25"/>
    <row r="667" ht="32.25" customHeight="1" x14ac:dyDescent="0.25"/>
    <row r="668" ht="32.25" customHeight="1" x14ac:dyDescent="0.25"/>
    <row r="669" ht="32.25" customHeight="1" x14ac:dyDescent="0.25"/>
    <row r="670" ht="32.25" customHeight="1" x14ac:dyDescent="0.25"/>
    <row r="671" ht="32.25" customHeight="1" x14ac:dyDescent="0.25"/>
    <row r="672" ht="32.25" customHeight="1" x14ac:dyDescent="0.25"/>
    <row r="673" ht="32.25" customHeight="1" x14ac:dyDescent="0.25"/>
    <row r="674" ht="32.25" customHeight="1" x14ac:dyDescent="0.25"/>
    <row r="675" ht="32.25" customHeight="1" x14ac:dyDescent="0.25"/>
    <row r="676" ht="32.25" customHeight="1" x14ac:dyDescent="0.25"/>
    <row r="677" ht="32.25" customHeight="1" x14ac:dyDescent="0.25"/>
    <row r="678" ht="32.25" customHeight="1" x14ac:dyDescent="0.25"/>
    <row r="679" ht="32.25" customHeight="1" x14ac:dyDescent="0.25"/>
    <row r="680" ht="32.25" customHeight="1" x14ac:dyDescent="0.25"/>
    <row r="681" ht="32.25" customHeight="1" x14ac:dyDescent="0.25"/>
    <row r="682" ht="32.25" customHeight="1" x14ac:dyDescent="0.25"/>
    <row r="683" ht="32.25" customHeight="1" x14ac:dyDescent="0.25"/>
    <row r="684" ht="32.25" customHeight="1" x14ac:dyDescent="0.25"/>
    <row r="685" ht="32.25" customHeight="1" x14ac:dyDescent="0.25"/>
    <row r="686" ht="32.25" customHeight="1" x14ac:dyDescent="0.25"/>
    <row r="687" ht="32.25" customHeight="1" x14ac:dyDescent="0.25"/>
    <row r="688" ht="32.25" customHeight="1" x14ac:dyDescent="0.25"/>
    <row r="689" ht="32.25" customHeight="1" x14ac:dyDescent="0.25"/>
    <row r="690" ht="32.25" customHeight="1" x14ac:dyDescent="0.25"/>
    <row r="691" ht="32.25" customHeight="1" x14ac:dyDescent="0.25"/>
    <row r="692" ht="32.25" customHeight="1" x14ac:dyDescent="0.25"/>
    <row r="693" ht="32.25" customHeight="1" x14ac:dyDescent="0.25"/>
    <row r="694" ht="32.25" customHeight="1" x14ac:dyDescent="0.25"/>
    <row r="695" ht="32.25" customHeight="1" x14ac:dyDescent="0.25"/>
    <row r="696" ht="32.25" customHeight="1" x14ac:dyDescent="0.25"/>
    <row r="697" ht="32.25" customHeight="1" x14ac:dyDescent="0.25"/>
    <row r="698" ht="32.25" customHeight="1" x14ac:dyDescent="0.25"/>
    <row r="699" ht="32.25" customHeight="1" x14ac:dyDescent="0.25"/>
    <row r="700" ht="32.25" customHeight="1" x14ac:dyDescent="0.25"/>
    <row r="701" ht="32.25" customHeight="1" x14ac:dyDescent="0.25"/>
    <row r="702" ht="32.25" customHeight="1" x14ac:dyDescent="0.25"/>
    <row r="703" ht="32.25" customHeight="1" x14ac:dyDescent="0.25"/>
    <row r="704" ht="32.25" customHeight="1" x14ac:dyDescent="0.25"/>
    <row r="705" ht="32.25" customHeight="1" x14ac:dyDescent="0.25"/>
    <row r="706" ht="32.25" customHeight="1" x14ac:dyDescent="0.25"/>
    <row r="707" ht="32.25" customHeight="1" x14ac:dyDescent="0.25"/>
    <row r="708" ht="32.25" customHeight="1" x14ac:dyDescent="0.25"/>
    <row r="709" ht="32.25" customHeight="1" x14ac:dyDescent="0.25"/>
    <row r="710" ht="32.25" customHeight="1" x14ac:dyDescent="0.25"/>
    <row r="711" ht="32.25" customHeight="1" x14ac:dyDescent="0.25"/>
    <row r="712" ht="32.25" customHeight="1" x14ac:dyDescent="0.25"/>
    <row r="713" ht="32.25" customHeight="1" x14ac:dyDescent="0.25"/>
    <row r="714" ht="32.25" customHeight="1" x14ac:dyDescent="0.25"/>
    <row r="715" ht="32.25" customHeight="1" x14ac:dyDescent="0.25"/>
    <row r="716" ht="32.25" customHeight="1" x14ac:dyDescent="0.25"/>
    <row r="717" ht="32.25" customHeight="1" x14ac:dyDescent="0.25"/>
    <row r="718" ht="32.25" customHeight="1" x14ac:dyDescent="0.25"/>
    <row r="719" ht="32.25" customHeight="1" x14ac:dyDescent="0.25"/>
    <row r="720" ht="32.25" customHeight="1" x14ac:dyDescent="0.25"/>
    <row r="721" ht="32.25" customHeight="1" x14ac:dyDescent="0.25"/>
    <row r="722" ht="32.25" customHeight="1" x14ac:dyDescent="0.25"/>
    <row r="723" ht="32.25" customHeight="1" x14ac:dyDescent="0.25"/>
    <row r="724" ht="32.25" customHeight="1" x14ac:dyDescent="0.25"/>
    <row r="725" ht="32.25" customHeight="1" x14ac:dyDescent="0.25"/>
    <row r="726" ht="32.25" customHeight="1" x14ac:dyDescent="0.25"/>
    <row r="727" ht="32.25" customHeight="1" x14ac:dyDescent="0.25"/>
    <row r="728" ht="32.25" customHeight="1" x14ac:dyDescent="0.25"/>
    <row r="729" ht="32.25" customHeight="1" x14ac:dyDescent="0.25"/>
    <row r="730" ht="32.25" customHeight="1" x14ac:dyDescent="0.25"/>
    <row r="731" ht="32.25" customHeight="1" x14ac:dyDescent="0.25"/>
    <row r="732" ht="32.25" customHeight="1" x14ac:dyDescent="0.25"/>
    <row r="733" ht="32.25" customHeight="1" x14ac:dyDescent="0.25"/>
    <row r="734" ht="32.25" customHeight="1" x14ac:dyDescent="0.25"/>
    <row r="735" ht="32.25" customHeight="1" x14ac:dyDescent="0.25"/>
    <row r="736" ht="32.25" customHeight="1" x14ac:dyDescent="0.25"/>
    <row r="737" ht="32.25" customHeight="1" x14ac:dyDescent="0.25"/>
    <row r="738" ht="32.25" customHeight="1" x14ac:dyDescent="0.25"/>
    <row r="739" ht="32.25" customHeight="1" x14ac:dyDescent="0.25"/>
    <row r="740" ht="32.25" customHeight="1" x14ac:dyDescent="0.25"/>
    <row r="741" ht="32.25" customHeight="1" x14ac:dyDescent="0.25"/>
    <row r="742" ht="32.25" customHeight="1" x14ac:dyDescent="0.25"/>
    <row r="743" ht="32.25" customHeight="1" x14ac:dyDescent="0.25"/>
    <row r="744" ht="32.25" customHeight="1" x14ac:dyDescent="0.25"/>
    <row r="745" ht="32.25" customHeight="1" x14ac:dyDescent="0.25"/>
    <row r="746" ht="32.25" customHeight="1" x14ac:dyDescent="0.25"/>
    <row r="747" ht="32.25" customHeight="1" x14ac:dyDescent="0.25"/>
    <row r="748" ht="32.25" customHeight="1" x14ac:dyDescent="0.25"/>
    <row r="749" ht="32.25" customHeight="1" x14ac:dyDescent="0.25"/>
    <row r="750" ht="32.25" customHeight="1" x14ac:dyDescent="0.25"/>
    <row r="751" ht="32.25" customHeight="1" x14ac:dyDescent="0.25"/>
    <row r="752" ht="32.25" customHeight="1" x14ac:dyDescent="0.25"/>
    <row r="753" ht="32.25" customHeight="1" x14ac:dyDescent="0.25"/>
    <row r="754" ht="32.25" customHeight="1" x14ac:dyDescent="0.25"/>
    <row r="755" ht="32.25" customHeight="1" x14ac:dyDescent="0.25"/>
    <row r="756" ht="32.25" customHeight="1" x14ac:dyDescent="0.25"/>
    <row r="757" ht="32.25" customHeight="1" x14ac:dyDescent="0.25"/>
    <row r="758" ht="32.25" customHeight="1" x14ac:dyDescent="0.25"/>
    <row r="759" ht="32.25" customHeight="1" x14ac:dyDescent="0.25"/>
    <row r="760" ht="32.25" customHeight="1" x14ac:dyDescent="0.25"/>
    <row r="761" ht="32.25" customHeight="1" x14ac:dyDescent="0.25"/>
    <row r="762" ht="32.25" customHeight="1" x14ac:dyDescent="0.25"/>
    <row r="763" ht="32.25" customHeight="1" x14ac:dyDescent="0.25"/>
    <row r="764" ht="32.25" customHeight="1" x14ac:dyDescent="0.25"/>
    <row r="765" ht="32.25" customHeight="1" x14ac:dyDescent="0.25"/>
    <row r="766" ht="32.25" customHeight="1" x14ac:dyDescent="0.25"/>
    <row r="767" ht="32.25" customHeight="1" x14ac:dyDescent="0.25"/>
    <row r="768" ht="32.25" customHeight="1" x14ac:dyDescent="0.25"/>
    <row r="769" ht="32.25" customHeight="1" x14ac:dyDescent="0.25"/>
    <row r="770" ht="32.25" customHeight="1" x14ac:dyDescent="0.25"/>
    <row r="771" ht="32.25" customHeight="1" x14ac:dyDescent="0.25"/>
    <row r="772" ht="32.25" customHeight="1" x14ac:dyDescent="0.25"/>
    <row r="773" ht="32.25" customHeight="1" x14ac:dyDescent="0.25"/>
    <row r="774" ht="32.25" customHeight="1" x14ac:dyDescent="0.25"/>
    <row r="775" ht="32.25" customHeight="1" x14ac:dyDescent="0.25"/>
    <row r="776" ht="32.25" customHeight="1" x14ac:dyDescent="0.25"/>
    <row r="777" ht="32.25" customHeight="1" x14ac:dyDescent="0.25"/>
    <row r="778" ht="32.25" customHeight="1" x14ac:dyDescent="0.25"/>
    <row r="779" ht="32.25" customHeight="1" x14ac:dyDescent="0.25"/>
    <row r="780" ht="32.25" customHeight="1" x14ac:dyDescent="0.25"/>
    <row r="781" ht="32.25" customHeight="1" x14ac:dyDescent="0.25"/>
    <row r="782" ht="32.25" customHeight="1" x14ac:dyDescent="0.25"/>
    <row r="783" ht="32.25" customHeight="1" x14ac:dyDescent="0.25"/>
    <row r="784" ht="32.25" customHeight="1" x14ac:dyDescent="0.25"/>
    <row r="785" ht="32.25" customHeight="1" x14ac:dyDescent="0.25"/>
    <row r="786" ht="32.25" customHeight="1" x14ac:dyDescent="0.25"/>
    <row r="787" ht="32.25" customHeight="1" x14ac:dyDescent="0.25"/>
    <row r="788" ht="32.25" customHeight="1" x14ac:dyDescent="0.25"/>
    <row r="789" ht="32.25" customHeight="1" x14ac:dyDescent="0.25"/>
    <row r="790" ht="32.25" customHeight="1" x14ac:dyDescent="0.25"/>
    <row r="791" ht="32.25" customHeight="1" x14ac:dyDescent="0.25"/>
    <row r="792" ht="32.25" customHeight="1" x14ac:dyDescent="0.25"/>
    <row r="793" ht="32.25" customHeight="1" x14ac:dyDescent="0.25"/>
    <row r="794" ht="32.25" customHeight="1" x14ac:dyDescent="0.25"/>
    <row r="795" ht="32.25" customHeight="1" x14ac:dyDescent="0.25"/>
    <row r="796" ht="32.25" customHeight="1" x14ac:dyDescent="0.25"/>
    <row r="797" ht="32.25" customHeight="1" x14ac:dyDescent="0.25"/>
    <row r="798" ht="32.25" customHeight="1" x14ac:dyDescent="0.25"/>
    <row r="799" ht="32.25" customHeight="1" x14ac:dyDescent="0.25"/>
    <row r="800" ht="32.25" customHeight="1" x14ac:dyDescent="0.25"/>
    <row r="801" ht="32.25" customHeight="1" x14ac:dyDescent="0.25"/>
    <row r="802" ht="32.25" customHeight="1" x14ac:dyDescent="0.25"/>
    <row r="803" ht="32.25" customHeight="1" x14ac:dyDescent="0.25"/>
    <row r="804" ht="32.25" customHeight="1" x14ac:dyDescent="0.25"/>
    <row r="805" ht="32.25" customHeight="1" x14ac:dyDescent="0.25"/>
    <row r="806" ht="32.25" customHeight="1" x14ac:dyDescent="0.25"/>
    <row r="807" ht="32.25" customHeight="1" x14ac:dyDescent="0.25"/>
    <row r="808" ht="32.25" customHeight="1" x14ac:dyDescent="0.25"/>
    <row r="809" ht="32.25" customHeight="1" x14ac:dyDescent="0.25"/>
    <row r="810" ht="32.25" customHeight="1" x14ac:dyDescent="0.25"/>
    <row r="811" ht="32.25" customHeight="1" x14ac:dyDescent="0.25"/>
    <row r="812" ht="32.25" customHeight="1" x14ac:dyDescent="0.25"/>
    <row r="813" ht="32.25" customHeight="1" x14ac:dyDescent="0.25"/>
    <row r="814" ht="32.25" customHeight="1" x14ac:dyDescent="0.25"/>
    <row r="815" ht="32.25" customHeight="1" x14ac:dyDescent="0.25"/>
    <row r="816" ht="32.25" customHeight="1" x14ac:dyDescent="0.25"/>
    <row r="817" ht="32.25" customHeight="1" x14ac:dyDescent="0.25"/>
    <row r="818" ht="32.25" customHeight="1" x14ac:dyDescent="0.25"/>
    <row r="819" ht="32.25" customHeight="1" x14ac:dyDescent="0.25"/>
    <row r="820" ht="32.25" customHeight="1" x14ac:dyDescent="0.25"/>
    <row r="821" ht="32.25" customHeight="1" x14ac:dyDescent="0.25"/>
    <row r="822" ht="32.25" customHeight="1" x14ac:dyDescent="0.25"/>
    <row r="823" ht="32.25" customHeight="1" x14ac:dyDescent="0.25"/>
    <row r="824" ht="32.25" customHeight="1" x14ac:dyDescent="0.25"/>
    <row r="825" ht="32.25" customHeight="1" x14ac:dyDescent="0.25"/>
    <row r="826" ht="32.25" customHeight="1" x14ac:dyDescent="0.25"/>
    <row r="827" ht="32.25" customHeight="1" x14ac:dyDescent="0.25"/>
    <row r="828" ht="32.25" customHeight="1" x14ac:dyDescent="0.25"/>
    <row r="829" ht="32.25" customHeight="1" x14ac:dyDescent="0.25"/>
    <row r="830" ht="32.25" customHeight="1" x14ac:dyDescent="0.25"/>
    <row r="831" ht="32.25" customHeight="1" x14ac:dyDescent="0.25"/>
    <row r="832" ht="32.25" customHeight="1" x14ac:dyDescent="0.25"/>
    <row r="833" ht="32.25" customHeight="1" x14ac:dyDescent="0.25"/>
    <row r="834" ht="32.25" customHeight="1" x14ac:dyDescent="0.25"/>
    <row r="835" ht="32.25" customHeight="1" x14ac:dyDescent="0.25"/>
    <row r="836" ht="32.25" customHeight="1" x14ac:dyDescent="0.25"/>
    <row r="837" ht="32.25" customHeight="1" x14ac:dyDescent="0.25"/>
    <row r="838" ht="32.25" customHeight="1" x14ac:dyDescent="0.25"/>
    <row r="839" ht="32.25" customHeight="1" x14ac:dyDescent="0.25"/>
    <row r="840" ht="32.25" customHeight="1" x14ac:dyDescent="0.25"/>
    <row r="841" ht="32.25" customHeight="1" x14ac:dyDescent="0.25"/>
    <row r="842" ht="32.25" customHeight="1" x14ac:dyDescent="0.25"/>
    <row r="843" ht="32.25" customHeight="1" x14ac:dyDescent="0.25"/>
    <row r="844" ht="32.25" customHeight="1" x14ac:dyDescent="0.25"/>
    <row r="845" ht="32.25" customHeight="1" x14ac:dyDescent="0.25"/>
    <row r="846" ht="32.25" customHeight="1" x14ac:dyDescent="0.25"/>
    <row r="847" ht="32.25" customHeight="1" x14ac:dyDescent="0.25"/>
    <row r="848" ht="32.25" customHeight="1" x14ac:dyDescent="0.25"/>
    <row r="849" ht="32.25" customHeight="1" x14ac:dyDescent="0.25"/>
    <row r="850" ht="32.25" customHeight="1" x14ac:dyDescent="0.25"/>
    <row r="851" ht="32.25" customHeight="1" x14ac:dyDescent="0.25"/>
    <row r="852" ht="32.25" customHeight="1" x14ac:dyDescent="0.25"/>
    <row r="853" ht="32.25" customHeight="1" x14ac:dyDescent="0.25"/>
    <row r="854" ht="32.25" customHeight="1" x14ac:dyDescent="0.25"/>
    <row r="855" ht="32.25" customHeight="1" x14ac:dyDescent="0.25"/>
    <row r="856" ht="32.25" customHeight="1" x14ac:dyDescent="0.25"/>
    <row r="857" ht="32.25" customHeight="1" x14ac:dyDescent="0.25"/>
    <row r="858" ht="32.25" customHeight="1" x14ac:dyDescent="0.25"/>
    <row r="859" ht="32.25" customHeight="1" x14ac:dyDescent="0.25"/>
    <row r="860" ht="32.25" customHeight="1" x14ac:dyDescent="0.25"/>
    <row r="861" ht="32.25" customHeight="1" x14ac:dyDescent="0.25"/>
    <row r="862" ht="32.25" customHeight="1" x14ac:dyDescent="0.25"/>
    <row r="863" ht="32.25" customHeight="1" x14ac:dyDescent="0.25"/>
    <row r="864" ht="32.25" customHeight="1" x14ac:dyDescent="0.25"/>
    <row r="865" ht="32.25" customHeight="1" x14ac:dyDescent="0.25"/>
    <row r="866" ht="32.25" customHeight="1" x14ac:dyDescent="0.25"/>
    <row r="867" ht="32.25" customHeight="1" x14ac:dyDescent="0.25"/>
    <row r="868" ht="32.25" customHeight="1" x14ac:dyDescent="0.25"/>
    <row r="869" ht="32.25" customHeight="1" x14ac:dyDescent="0.25"/>
    <row r="870" ht="32.25" customHeight="1" x14ac:dyDescent="0.25"/>
    <row r="871" ht="32.25" customHeight="1" x14ac:dyDescent="0.25"/>
    <row r="872" ht="32.25" customHeight="1" x14ac:dyDescent="0.25"/>
    <row r="873" ht="32.25" customHeight="1" x14ac:dyDescent="0.25"/>
    <row r="874" ht="32.25" customHeight="1" x14ac:dyDescent="0.25"/>
    <row r="875" ht="32.25" customHeight="1" x14ac:dyDescent="0.25"/>
    <row r="876" ht="32.25" customHeight="1" x14ac:dyDescent="0.25"/>
    <row r="877" ht="32.25" customHeight="1" x14ac:dyDescent="0.25"/>
    <row r="878" ht="32.25" customHeight="1" x14ac:dyDescent="0.25"/>
    <row r="879" ht="32.25" customHeight="1" x14ac:dyDescent="0.25"/>
    <row r="880" ht="32.25" customHeight="1" x14ac:dyDescent="0.25"/>
    <row r="881" ht="32.25" customHeight="1" x14ac:dyDescent="0.25"/>
    <row r="882" ht="32.25" customHeight="1" x14ac:dyDescent="0.25"/>
    <row r="883" ht="32.25" customHeight="1" x14ac:dyDescent="0.25"/>
    <row r="884" ht="32.25" customHeight="1" x14ac:dyDescent="0.25"/>
    <row r="885" ht="32.25" customHeight="1" x14ac:dyDescent="0.25"/>
    <row r="886" ht="32.25" customHeight="1" x14ac:dyDescent="0.25"/>
    <row r="887" ht="32.25" customHeight="1" x14ac:dyDescent="0.25"/>
    <row r="888" ht="32.25" customHeight="1" x14ac:dyDescent="0.25"/>
    <row r="889" ht="32.25" customHeight="1" x14ac:dyDescent="0.25"/>
    <row r="890" ht="32.25" customHeight="1" x14ac:dyDescent="0.25"/>
    <row r="891" ht="32.25" customHeight="1" x14ac:dyDescent="0.25"/>
    <row r="892" ht="32.25" customHeight="1" x14ac:dyDescent="0.25"/>
    <row r="893" ht="32.25" customHeight="1" x14ac:dyDescent="0.25"/>
    <row r="894" ht="32.25" customHeight="1" x14ac:dyDescent="0.25"/>
    <row r="895" ht="32.25" customHeight="1" x14ac:dyDescent="0.25"/>
    <row r="896" ht="32.25" customHeight="1" x14ac:dyDescent="0.25"/>
    <row r="897" ht="32.25" customHeight="1" x14ac:dyDescent="0.25"/>
    <row r="898" ht="32.25" customHeight="1" x14ac:dyDescent="0.25"/>
    <row r="899" ht="32.25" customHeight="1" x14ac:dyDescent="0.25"/>
    <row r="900" ht="32.25" customHeight="1" x14ac:dyDescent="0.25"/>
    <row r="901" ht="32.25" customHeight="1" x14ac:dyDescent="0.25"/>
    <row r="902" ht="32.25" customHeight="1" x14ac:dyDescent="0.25"/>
    <row r="903" ht="32.25" customHeight="1" x14ac:dyDescent="0.25"/>
    <row r="904" ht="32.25" customHeight="1" x14ac:dyDescent="0.25"/>
    <row r="905" ht="32.25" customHeight="1" x14ac:dyDescent="0.25"/>
    <row r="906" ht="32.25" customHeight="1" x14ac:dyDescent="0.25"/>
    <row r="907" ht="32.25" customHeight="1" x14ac:dyDescent="0.25"/>
    <row r="908" ht="32.25" customHeight="1" x14ac:dyDescent="0.25"/>
    <row r="909" ht="32.25" customHeight="1" x14ac:dyDescent="0.25"/>
    <row r="910" ht="32.25" customHeight="1" x14ac:dyDescent="0.25"/>
    <row r="911" ht="32.25" customHeight="1" x14ac:dyDescent="0.25"/>
    <row r="912" ht="32.25" customHeight="1" x14ac:dyDescent="0.25"/>
    <row r="913" ht="32.25" customHeight="1" x14ac:dyDescent="0.25"/>
    <row r="914" ht="32.25" customHeight="1" x14ac:dyDescent="0.25"/>
    <row r="915" ht="32.25" customHeight="1" x14ac:dyDescent="0.25"/>
    <row r="916" ht="32.25" customHeight="1" x14ac:dyDescent="0.25"/>
    <row r="917" ht="32.25" customHeight="1" x14ac:dyDescent="0.25"/>
    <row r="918" ht="32.25" customHeight="1" x14ac:dyDescent="0.25"/>
    <row r="919" ht="32.25" customHeight="1" x14ac:dyDescent="0.25"/>
    <row r="920" ht="32.25" customHeight="1" x14ac:dyDescent="0.25"/>
    <row r="921" ht="32.25" customHeight="1" x14ac:dyDescent="0.25"/>
    <row r="922" ht="32.25" customHeight="1" x14ac:dyDescent="0.25"/>
    <row r="923" ht="32.25" customHeight="1" x14ac:dyDescent="0.25"/>
    <row r="924" ht="32.25" customHeight="1" x14ac:dyDescent="0.25"/>
    <row r="925" ht="32.25" customHeight="1" x14ac:dyDescent="0.25"/>
    <row r="926" ht="32.25" customHeight="1" x14ac:dyDescent="0.25"/>
    <row r="927" ht="32.25" customHeight="1" x14ac:dyDescent="0.25"/>
    <row r="928" ht="32.25" customHeight="1" x14ac:dyDescent="0.25"/>
    <row r="929" ht="32.25" customHeight="1" x14ac:dyDescent="0.25"/>
    <row r="930" ht="32.25" customHeight="1" x14ac:dyDescent="0.25"/>
    <row r="931" ht="32.25" customHeight="1" x14ac:dyDescent="0.25"/>
    <row r="932" ht="32.25" customHeight="1" x14ac:dyDescent="0.25"/>
    <row r="933" ht="32.25" customHeight="1" x14ac:dyDescent="0.25"/>
    <row r="934" ht="32.25" customHeight="1" x14ac:dyDescent="0.25"/>
    <row r="935" ht="32.25" customHeight="1" x14ac:dyDescent="0.25"/>
    <row r="936" ht="32.25" customHeight="1" x14ac:dyDescent="0.25"/>
    <row r="937" ht="32.25" customHeight="1" x14ac:dyDescent="0.25"/>
    <row r="938" ht="32.25" customHeight="1" x14ac:dyDescent="0.25"/>
    <row r="939" ht="32.25" customHeight="1" x14ac:dyDescent="0.25"/>
    <row r="940" ht="32.25" customHeight="1" x14ac:dyDescent="0.25"/>
    <row r="941" ht="32.25" customHeight="1" x14ac:dyDescent="0.25"/>
    <row r="942" ht="32.25" customHeight="1" x14ac:dyDescent="0.25"/>
    <row r="943" ht="32.25" customHeight="1" x14ac:dyDescent="0.25"/>
    <row r="944" ht="32.25" customHeight="1" x14ac:dyDescent="0.25"/>
    <row r="945" ht="32.25" customHeight="1" x14ac:dyDescent="0.25"/>
    <row r="946" ht="32.25" customHeight="1" x14ac:dyDescent="0.25"/>
    <row r="947" ht="32.25" customHeight="1" x14ac:dyDescent="0.25"/>
    <row r="948" ht="32.25" customHeight="1" x14ac:dyDescent="0.25"/>
    <row r="949" ht="32.25" customHeight="1" x14ac:dyDescent="0.25"/>
    <row r="950" ht="32.25" customHeight="1" x14ac:dyDescent="0.25"/>
    <row r="951" ht="32.25" customHeight="1" x14ac:dyDescent="0.25"/>
    <row r="952" ht="32.25" customHeight="1" x14ac:dyDescent="0.25"/>
    <row r="953" ht="32.25" customHeight="1" x14ac:dyDescent="0.25"/>
    <row r="954" ht="32.25" customHeight="1" x14ac:dyDescent="0.25"/>
    <row r="955" ht="32.25" customHeight="1" x14ac:dyDescent="0.25"/>
    <row r="956" ht="32.25" customHeight="1" x14ac:dyDescent="0.25"/>
    <row r="957" ht="32.25" customHeight="1" x14ac:dyDescent="0.25"/>
    <row r="958" ht="32.25" customHeight="1" x14ac:dyDescent="0.25"/>
    <row r="959" ht="32.25" customHeight="1" x14ac:dyDescent="0.25"/>
    <row r="960" ht="32.25" customHeight="1" x14ac:dyDescent="0.25"/>
    <row r="961" ht="32.25" customHeight="1" x14ac:dyDescent="0.25"/>
    <row r="962" ht="32.25" customHeight="1" x14ac:dyDescent="0.25"/>
    <row r="963" ht="32.25" customHeight="1" x14ac:dyDescent="0.25"/>
    <row r="964" ht="32.25" customHeight="1" x14ac:dyDescent="0.25"/>
    <row r="965" ht="32.25" customHeight="1" x14ac:dyDescent="0.25"/>
    <row r="966" ht="32.25" customHeight="1" x14ac:dyDescent="0.25"/>
    <row r="967" ht="32.25" customHeight="1" x14ac:dyDescent="0.25"/>
    <row r="968" ht="32.25" customHeight="1" x14ac:dyDescent="0.25"/>
    <row r="969" ht="32.25" customHeight="1" x14ac:dyDescent="0.25"/>
    <row r="970" ht="32.25" customHeight="1" x14ac:dyDescent="0.25"/>
    <row r="971" ht="32.25" customHeight="1" x14ac:dyDescent="0.25"/>
    <row r="972" ht="32.25" customHeight="1" x14ac:dyDescent="0.25"/>
    <row r="973" ht="32.25" customHeight="1" x14ac:dyDescent="0.25"/>
    <row r="974" ht="32.25" customHeight="1" x14ac:dyDescent="0.25"/>
    <row r="975" ht="32.25" customHeight="1" x14ac:dyDescent="0.25"/>
    <row r="976" ht="32.25" customHeight="1" x14ac:dyDescent="0.25"/>
    <row r="977" ht="32.25" customHeight="1" x14ac:dyDescent="0.25"/>
    <row r="978" ht="32.25" customHeight="1" x14ac:dyDescent="0.25"/>
    <row r="979" ht="32.25" customHeight="1" x14ac:dyDescent="0.25"/>
    <row r="980" ht="32.25" customHeight="1" x14ac:dyDescent="0.25"/>
    <row r="981" ht="32.25" customHeight="1" x14ac:dyDescent="0.25"/>
    <row r="982" ht="32.25" customHeight="1" x14ac:dyDescent="0.25"/>
    <row r="983" ht="32.25" customHeight="1" x14ac:dyDescent="0.25"/>
    <row r="984" ht="32.25" customHeight="1" x14ac:dyDescent="0.25"/>
    <row r="985" ht="32.25" customHeight="1" x14ac:dyDescent="0.25"/>
    <row r="986" ht="32.25" customHeight="1" x14ac:dyDescent="0.25"/>
    <row r="987" ht="32.25" customHeight="1" x14ac:dyDescent="0.25"/>
    <row r="988" ht="32.25" customHeight="1" x14ac:dyDescent="0.25"/>
    <row r="989" ht="32.25" customHeight="1" x14ac:dyDescent="0.25"/>
    <row r="990" ht="32.25" customHeight="1" x14ac:dyDescent="0.25"/>
    <row r="991" ht="32.25" customHeight="1" x14ac:dyDescent="0.25"/>
    <row r="992" ht="32.25" customHeight="1" x14ac:dyDescent="0.25"/>
    <row r="993" ht="32.25" customHeight="1" x14ac:dyDescent="0.25"/>
    <row r="994" ht="32.25" customHeight="1" x14ac:dyDescent="0.25"/>
    <row r="995" ht="32.25" customHeight="1" x14ac:dyDescent="0.25"/>
    <row r="996" ht="32.25" customHeight="1" x14ac:dyDescent="0.25"/>
    <row r="997" ht="32.25" customHeight="1" x14ac:dyDescent="0.25"/>
    <row r="998" ht="32.25" customHeight="1" x14ac:dyDescent="0.25"/>
    <row r="999" ht="32.25" customHeight="1" x14ac:dyDescent="0.25"/>
    <row r="1000" ht="32.25" customHeight="1" x14ac:dyDescent="0.25"/>
    <row r="1001" ht="32.25" customHeight="1" x14ac:dyDescent="0.25"/>
    <row r="1002" ht="32.25" customHeight="1" x14ac:dyDescent="0.25"/>
    <row r="1003" ht="32.25" customHeight="1" x14ac:dyDescent="0.25"/>
    <row r="1004" ht="32.25" customHeight="1" x14ac:dyDescent="0.25"/>
    <row r="1005" ht="32.25" customHeight="1" x14ac:dyDescent="0.25"/>
    <row r="1006" ht="32.25" customHeight="1" x14ac:dyDescent="0.25"/>
    <row r="1007" ht="32.25" customHeight="1" x14ac:dyDescent="0.25"/>
    <row r="1008" ht="32.25" customHeight="1" x14ac:dyDescent="0.25"/>
    <row r="1009" ht="32.25" customHeight="1" x14ac:dyDescent="0.25"/>
    <row r="1010" ht="32.25" customHeight="1" x14ac:dyDescent="0.25"/>
    <row r="1011" ht="32.25" customHeight="1" x14ac:dyDescent="0.25"/>
    <row r="1012" ht="32.25" customHeight="1" x14ac:dyDescent="0.25"/>
  </sheetData>
  <autoFilter ref="B6:G29" xr:uid="{00000000-0009-0000-0000-000002000000}"/>
  <mergeCells count="1">
    <mergeCell ref="G2:G4"/>
  </mergeCells>
  <pageMargins left="0.25" right="0.25" top="0.75" bottom="0.75" header="0.3" footer="0.3"/>
  <pageSetup paperSize="9" scale="8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F409D-0089-4047-A5A8-9B385B0685CC}">
  <dimension ref="A1:I7"/>
  <sheetViews>
    <sheetView tabSelected="1" workbookViewId="0">
      <selection activeCell="K6" sqref="K6"/>
    </sheetView>
  </sheetViews>
  <sheetFormatPr defaultRowHeight="15" x14ac:dyDescent="0.25"/>
  <cols>
    <col min="1" max="1" width="26.7109375" customWidth="1"/>
    <col min="2" max="2" width="15.5703125" customWidth="1"/>
    <col min="8" max="8" width="16.5703125" customWidth="1"/>
    <col min="9" max="9" width="13.5703125" customWidth="1"/>
  </cols>
  <sheetData>
    <row r="1" spans="1:9" x14ac:dyDescent="0.25">
      <c r="A1" s="26" t="s">
        <v>108</v>
      </c>
      <c r="B1" s="26" t="s">
        <v>109</v>
      </c>
      <c r="H1" t="s">
        <v>112</v>
      </c>
      <c r="I1" t="s">
        <v>109</v>
      </c>
    </row>
    <row r="2" spans="1:9" x14ac:dyDescent="0.25">
      <c r="A2" t="s">
        <v>102</v>
      </c>
      <c r="B2">
        <v>2</v>
      </c>
      <c r="H2" t="s">
        <v>110</v>
      </c>
      <c r="I2">
        <v>17</v>
      </c>
    </row>
    <row r="3" spans="1:9" x14ac:dyDescent="0.25">
      <c r="A3" t="s">
        <v>103</v>
      </c>
      <c r="B3">
        <v>4</v>
      </c>
      <c r="H3" t="s">
        <v>111</v>
      </c>
      <c r="I3">
        <v>3</v>
      </c>
    </row>
    <row r="4" spans="1:9" x14ac:dyDescent="0.25">
      <c r="A4" t="s">
        <v>104</v>
      </c>
      <c r="B4">
        <v>6</v>
      </c>
    </row>
    <row r="5" spans="1:9" x14ac:dyDescent="0.25">
      <c r="A5" t="s">
        <v>105</v>
      </c>
      <c r="B5">
        <v>2</v>
      </c>
    </row>
    <row r="6" spans="1:9" x14ac:dyDescent="0.25">
      <c r="A6" t="s">
        <v>106</v>
      </c>
      <c r="B6">
        <v>2</v>
      </c>
      <c r="H6" s="29"/>
      <c r="I6" s="29"/>
    </row>
    <row r="7" spans="1:9" x14ac:dyDescent="0.25">
      <c r="A7" t="s">
        <v>107</v>
      </c>
      <c r="B7">
        <v>5</v>
      </c>
    </row>
  </sheetData>
  <mergeCells count="1">
    <mergeCell ref="H6:I6"/>
  </mergeCell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3:E90"/>
  <sheetViews>
    <sheetView showGridLines="0" workbookViewId="0">
      <selection activeCell="A6" sqref="A4:A9"/>
    </sheetView>
  </sheetViews>
  <sheetFormatPr defaultColWidth="8.5703125" defaultRowHeight="15" x14ac:dyDescent="0.25"/>
  <cols>
    <col min="1" max="1" width="31.7109375" customWidth="1"/>
    <col min="2" max="5" width="13" style="15" customWidth="1"/>
    <col min="6" max="6" width="9.140625" customWidth="1"/>
  </cols>
  <sheetData>
    <row r="3" spans="1:5" x14ac:dyDescent="0.25">
      <c r="A3" s="13" t="s">
        <v>18</v>
      </c>
      <c r="B3" t="s">
        <v>28</v>
      </c>
      <c r="C3"/>
      <c r="D3"/>
      <c r="E3"/>
    </row>
    <row r="4" spans="1:5" x14ac:dyDescent="0.25">
      <c r="A4" s="14" t="s">
        <v>12</v>
      </c>
      <c r="B4" s="16">
        <v>615</v>
      </c>
      <c r="C4"/>
      <c r="D4"/>
      <c r="E4"/>
    </row>
    <row r="5" spans="1:5" x14ac:dyDescent="0.25">
      <c r="A5" s="14" t="s">
        <v>14</v>
      </c>
      <c r="B5" s="16">
        <v>40</v>
      </c>
      <c r="C5"/>
      <c r="D5"/>
      <c r="E5"/>
    </row>
    <row r="6" spans="1:5" x14ac:dyDescent="0.25">
      <c r="A6" s="14" t="s">
        <v>15</v>
      </c>
      <c r="B6" s="16">
        <v>35</v>
      </c>
      <c r="C6"/>
      <c r="D6"/>
      <c r="E6"/>
    </row>
    <row r="7" spans="1:5" x14ac:dyDescent="0.25">
      <c r="A7" s="14" t="s">
        <v>13</v>
      </c>
      <c r="B7" s="16">
        <v>73</v>
      </c>
      <c r="C7"/>
      <c r="D7"/>
      <c r="E7"/>
    </row>
    <row r="8" spans="1:5" x14ac:dyDescent="0.25">
      <c r="A8" s="14" t="s">
        <v>17</v>
      </c>
      <c r="B8" s="16">
        <v>28</v>
      </c>
      <c r="C8"/>
      <c r="D8"/>
      <c r="E8"/>
    </row>
    <row r="9" spans="1:5" x14ac:dyDescent="0.25">
      <c r="A9" s="14" t="s">
        <v>16</v>
      </c>
      <c r="B9" s="16">
        <v>5</v>
      </c>
      <c r="C9"/>
      <c r="D9"/>
      <c r="E9"/>
    </row>
    <row r="10" spans="1:5" x14ac:dyDescent="0.25">
      <c r="A10" s="14" t="s">
        <v>21</v>
      </c>
      <c r="B10" s="16">
        <v>796</v>
      </c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18" t="s">
        <v>11</v>
      </c>
      <c r="B19" s="18" t="s">
        <v>31</v>
      </c>
      <c r="C19"/>
      <c r="D19"/>
      <c r="E19"/>
    </row>
    <row r="20" spans="1:5" x14ac:dyDescent="0.25">
      <c r="A20" s="17" t="s">
        <v>12</v>
      </c>
      <c r="B20" s="17">
        <f>GETPIVOTDATA("STATUS DOS TESTES",$A$3,"STATUS DOS TESTES","APROVADO")</f>
        <v>615</v>
      </c>
      <c r="C20"/>
      <c r="D20"/>
      <c r="E20"/>
    </row>
    <row r="21" spans="1:5" x14ac:dyDescent="0.25">
      <c r="A21" s="17" t="s">
        <v>30</v>
      </c>
      <c r="B21" s="17">
        <f>GETPIVOTDATA("STATUS DOS TESTES",$A$3)-B20</f>
        <v>181</v>
      </c>
      <c r="C21"/>
      <c r="D21"/>
      <c r="E21"/>
    </row>
    <row r="22" spans="1:5" x14ac:dyDescent="0.25">
      <c r="B22"/>
      <c r="C22"/>
      <c r="D22"/>
      <c r="E22"/>
    </row>
    <row r="23" spans="1:5" x14ac:dyDescent="0.25">
      <c r="B23"/>
      <c r="C23"/>
      <c r="D23"/>
      <c r="E23"/>
    </row>
    <row r="24" spans="1:5" x14ac:dyDescent="0.25">
      <c r="B24"/>
      <c r="C24"/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3:H95"/>
  <sheetViews>
    <sheetView showGridLines="0" topLeftCell="A6" workbookViewId="0">
      <selection activeCell="G22" sqref="G22"/>
    </sheetView>
  </sheetViews>
  <sheetFormatPr defaultColWidth="8.5703125" defaultRowHeight="15" x14ac:dyDescent="0.25"/>
  <cols>
    <col min="1" max="1" width="31.7109375" customWidth="1"/>
    <col min="2" max="5" width="13" style="15" customWidth="1"/>
    <col min="6" max="6" width="9.140625" customWidth="1"/>
    <col min="7" max="7" width="8.5703125" customWidth="1"/>
  </cols>
  <sheetData>
    <row r="3" spans="1:8" x14ac:dyDescent="0.25">
      <c r="B3" s="13" t="s">
        <v>20</v>
      </c>
      <c r="C3"/>
      <c r="D3"/>
      <c r="E3"/>
    </row>
    <row r="4" spans="1:8" x14ac:dyDescent="0.25">
      <c r="A4" s="13" t="s">
        <v>18</v>
      </c>
      <c r="B4" t="s">
        <v>12</v>
      </c>
      <c r="C4" t="s">
        <v>14</v>
      </c>
      <c r="D4" t="s">
        <v>15</v>
      </c>
      <c r="E4" t="s">
        <v>13</v>
      </c>
      <c r="F4" t="s">
        <v>17</v>
      </c>
      <c r="G4" t="s">
        <v>16</v>
      </c>
      <c r="H4" t="s">
        <v>21</v>
      </c>
    </row>
    <row r="5" spans="1:8" x14ac:dyDescent="0.25">
      <c r="A5" s="14" t="s">
        <v>22</v>
      </c>
      <c r="F5" s="15"/>
      <c r="G5" s="15"/>
      <c r="H5" s="15"/>
    </row>
    <row r="6" spans="1:8" x14ac:dyDescent="0.25">
      <c r="A6" s="14" t="s">
        <v>23</v>
      </c>
      <c r="F6" s="15"/>
      <c r="G6" s="15"/>
      <c r="H6" s="15"/>
    </row>
    <row r="7" spans="1:8" x14ac:dyDescent="0.25">
      <c r="A7" s="14" t="s">
        <v>24</v>
      </c>
      <c r="F7" s="15"/>
      <c r="G7" s="15"/>
      <c r="H7" s="15"/>
    </row>
    <row r="8" spans="1:8" x14ac:dyDescent="0.25">
      <c r="A8" s="14" t="s">
        <v>25</v>
      </c>
      <c r="F8" s="15"/>
      <c r="G8" s="15"/>
      <c r="H8" s="15"/>
    </row>
    <row r="9" spans="1:8" x14ac:dyDescent="0.25">
      <c r="A9" s="14" t="s">
        <v>26</v>
      </c>
      <c r="F9" s="15"/>
      <c r="G9" s="15"/>
      <c r="H9" s="15"/>
    </row>
    <row r="10" spans="1:8" x14ac:dyDescent="0.25">
      <c r="A10" s="14" t="s">
        <v>27</v>
      </c>
      <c r="F10" s="15"/>
      <c r="G10" s="15"/>
      <c r="H10" s="15"/>
    </row>
    <row r="11" spans="1:8" x14ac:dyDescent="0.25">
      <c r="B11"/>
      <c r="C11"/>
      <c r="D11"/>
      <c r="E11"/>
    </row>
    <row r="12" spans="1:8" x14ac:dyDescent="0.25">
      <c r="B12"/>
      <c r="C12"/>
      <c r="D12"/>
      <c r="E12"/>
    </row>
    <row r="13" spans="1:8" x14ac:dyDescent="0.25">
      <c r="B13"/>
      <c r="C13"/>
      <c r="D13"/>
      <c r="E13"/>
    </row>
    <row r="14" spans="1:8" x14ac:dyDescent="0.25">
      <c r="B14"/>
      <c r="C14"/>
      <c r="D14"/>
      <c r="E14"/>
    </row>
    <row r="15" spans="1:8" x14ac:dyDescent="0.25">
      <c r="B15"/>
      <c r="C15"/>
      <c r="D15"/>
      <c r="E15"/>
    </row>
    <row r="16" spans="1:8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18" t="s">
        <v>9</v>
      </c>
      <c r="B19" s="20" t="s">
        <v>12</v>
      </c>
      <c r="C19" s="20" t="s">
        <v>30</v>
      </c>
      <c r="D19"/>
      <c r="E19"/>
    </row>
    <row r="20" spans="1:5" x14ac:dyDescent="0.25">
      <c r="A20" s="17" t="e">
        <f>#REF!</f>
        <v>#REF!</v>
      </c>
      <c r="B20" s="19" t="e">
        <f>GETPIVOTDATA("ETAPA DO TESTE",$A$3,"CRITICIDADE",A20,"STATUS DOS TESTES",$B$19)</f>
        <v>#REF!</v>
      </c>
      <c r="C20" s="19" t="e">
        <f t="shared" ref="C20:C25" si="0">GETPIVOTDATA("ETAPA DO TESTE",$A$3,"CRITICIDADE",A20)-B20</f>
        <v>#REF!</v>
      </c>
      <c r="D20"/>
      <c r="E20"/>
    </row>
    <row r="21" spans="1:5" x14ac:dyDescent="0.25">
      <c r="A21" s="17" t="e">
        <f>#REF!</f>
        <v>#REF!</v>
      </c>
      <c r="B21" s="19" t="e">
        <f t="shared" ref="B21:B25" si="1">GETPIVOTDATA("ETAPA DO TESTE",$A$3,"CRITICIDADE",A21,"STATUS DOS TESTES",$B$19)</f>
        <v>#REF!</v>
      </c>
      <c r="C21" s="19" t="e">
        <f t="shared" si="0"/>
        <v>#REF!</v>
      </c>
      <c r="D21"/>
      <c r="E21"/>
    </row>
    <row r="22" spans="1:5" x14ac:dyDescent="0.25">
      <c r="A22" s="17" t="e">
        <f>#REF!</f>
        <v>#REF!</v>
      </c>
      <c r="B22" s="19" t="e">
        <f t="shared" si="1"/>
        <v>#REF!</v>
      </c>
      <c r="C22" s="19" t="e">
        <f t="shared" si="0"/>
        <v>#REF!</v>
      </c>
      <c r="D22"/>
      <c r="E22"/>
    </row>
    <row r="23" spans="1:5" x14ac:dyDescent="0.25">
      <c r="A23" s="17" t="e">
        <f>#REF!</f>
        <v>#REF!</v>
      </c>
      <c r="B23" s="19" t="e">
        <f t="shared" si="1"/>
        <v>#REF!</v>
      </c>
      <c r="C23" s="19" t="e">
        <f t="shared" si="0"/>
        <v>#REF!</v>
      </c>
      <c r="D23"/>
      <c r="E23"/>
    </row>
    <row r="24" spans="1:5" x14ac:dyDescent="0.25">
      <c r="A24" s="17" t="e">
        <f>#REF!</f>
        <v>#REF!</v>
      </c>
      <c r="B24" s="19" t="e">
        <f t="shared" si="1"/>
        <v>#REF!</v>
      </c>
      <c r="C24" s="19" t="e">
        <f t="shared" si="0"/>
        <v>#REF!</v>
      </c>
      <c r="D24"/>
      <c r="E24"/>
    </row>
    <row r="25" spans="1:5" x14ac:dyDescent="0.25">
      <c r="A25" s="17" t="e">
        <f>#REF!</f>
        <v>#REF!</v>
      </c>
      <c r="B25" s="19" t="e">
        <f t="shared" si="1"/>
        <v>#REF!</v>
      </c>
      <c r="C25" s="19" t="e">
        <f t="shared" si="0"/>
        <v>#REF!</v>
      </c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3:I95"/>
  <sheetViews>
    <sheetView showGridLines="0" topLeftCell="A4" workbookViewId="0">
      <selection activeCell="A22" sqref="A22"/>
    </sheetView>
  </sheetViews>
  <sheetFormatPr defaultColWidth="8.5703125" defaultRowHeight="15" x14ac:dyDescent="0.25"/>
  <cols>
    <col min="1" max="1" width="31.7109375" customWidth="1"/>
    <col min="2" max="5" width="13" style="15" customWidth="1"/>
    <col min="6" max="6" width="9.140625" customWidth="1"/>
  </cols>
  <sheetData>
    <row r="3" spans="1:9" x14ac:dyDescent="0.25">
      <c r="B3" s="13" t="s">
        <v>20</v>
      </c>
      <c r="C3"/>
      <c r="D3"/>
      <c r="E3"/>
    </row>
    <row r="4" spans="1:9" x14ac:dyDescent="0.25">
      <c r="B4" t="s">
        <v>12</v>
      </c>
      <c r="C4" t="s">
        <v>14</v>
      </c>
      <c r="D4" t="s">
        <v>15</v>
      </c>
      <c r="E4" t="s">
        <v>13</v>
      </c>
      <c r="F4" t="s">
        <v>17</v>
      </c>
      <c r="G4" t="s">
        <v>16</v>
      </c>
      <c r="H4" t="s">
        <v>19</v>
      </c>
      <c r="I4" t="s">
        <v>21</v>
      </c>
    </row>
    <row r="5" spans="1:9" x14ac:dyDescent="0.25">
      <c r="A5" t="s">
        <v>29</v>
      </c>
      <c r="B5" s="16">
        <v>615</v>
      </c>
      <c r="C5" s="16">
        <v>40</v>
      </c>
      <c r="D5" s="16">
        <v>35</v>
      </c>
      <c r="E5" s="16">
        <v>73</v>
      </c>
      <c r="F5" s="16">
        <v>28</v>
      </c>
      <c r="G5" s="16">
        <v>5</v>
      </c>
      <c r="H5" s="16"/>
      <c r="I5" s="16">
        <v>796</v>
      </c>
    </row>
    <row r="6" spans="1:9" x14ac:dyDescent="0.25">
      <c r="B6"/>
      <c r="C6"/>
      <c r="D6"/>
      <c r="E6"/>
    </row>
    <row r="7" spans="1:9" x14ac:dyDescent="0.25">
      <c r="B7"/>
      <c r="C7"/>
      <c r="D7"/>
      <c r="E7"/>
    </row>
    <row r="8" spans="1:9" x14ac:dyDescent="0.25">
      <c r="B8"/>
      <c r="C8"/>
      <c r="D8"/>
      <c r="E8"/>
    </row>
    <row r="9" spans="1:9" x14ac:dyDescent="0.25">
      <c r="B9"/>
      <c r="C9"/>
      <c r="D9"/>
      <c r="E9"/>
    </row>
    <row r="10" spans="1:9" x14ac:dyDescent="0.25">
      <c r="B10"/>
      <c r="C10"/>
      <c r="D10"/>
      <c r="E10"/>
    </row>
    <row r="11" spans="1:9" x14ac:dyDescent="0.25">
      <c r="B11"/>
      <c r="C11"/>
      <c r="D11"/>
      <c r="E11"/>
    </row>
    <row r="12" spans="1:9" x14ac:dyDescent="0.25">
      <c r="B12"/>
      <c r="C12"/>
      <c r="D12"/>
      <c r="E12"/>
    </row>
    <row r="13" spans="1:9" x14ac:dyDescent="0.25">
      <c r="B13"/>
      <c r="C13"/>
      <c r="D13"/>
      <c r="E13"/>
    </row>
    <row r="14" spans="1:9" x14ac:dyDescent="0.25">
      <c r="B14"/>
      <c r="C14"/>
      <c r="D14"/>
      <c r="E14"/>
    </row>
    <row r="15" spans="1:9" x14ac:dyDescent="0.25">
      <c r="B15"/>
      <c r="C15"/>
      <c r="D15"/>
      <c r="E15"/>
    </row>
    <row r="16" spans="1:9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18" t="s">
        <v>9</v>
      </c>
      <c r="B19" s="20" t="s">
        <v>12</v>
      </c>
      <c r="C19" s="20" t="s">
        <v>30</v>
      </c>
      <c r="D19"/>
      <c r="E19"/>
    </row>
    <row r="20" spans="1:5" x14ac:dyDescent="0.25">
      <c r="A20" s="17" t="e">
        <f>#REF!</f>
        <v>#REF!</v>
      </c>
      <c r="B20" s="19" t="e">
        <f>GETPIVOTDATA("CRITICIDADE",$A$3,"CATEGORIA",A20,"STATUS DOS TESTES","APROVADO")</f>
        <v>#REF!</v>
      </c>
      <c r="C20" s="19" t="e">
        <f>GETPIVOTDATA("CRITICIDADE",$A$3,"CATEGORIA",A20)-B20</f>
        <v>#REF!</v>
      </c>
      <c r="D20"/>
      <c r="E20"/>
    </row>
    <row r="21" spans="1:5" x14ac:dyDescent="0.25">
      <c r="A21" s="17" t="e">
        <f>#REF!</f>
        <v>#REF!</v>
      </c>
      <c r="B21" s="19" t="e">
        <f>GETPIVOTDATA("CRITICIDADE",$A$3,"CATEGORIA",A21,"STATUS DOS TESTES","APROVADO")</f>
        <v>#REF!</v>
      </c>
      <c r="C21" s="19" t="e">
        <f>GETPIVOTDATA("CRITICIDADE",$A$3,"CATEGORIA",A21)-B21</f>
        <v>#REF!</v>
      </c>
      <c r="D21"/>
      <c r="E21"/>
    </row>
    <row r="22" spans="1:5" x14ac:dyDescent="0.25">
      <c r="A22" s="17" t="e">
        <f>#REF!</f>
        <v>#REF!</v>
      </c>
      <c r="B22" s="19" t="e">
        <f>GETPIVOTDATA("CRITICIDADE",$A$3,"CATEGORIA",A22,"STATUS DOS TESTES","APROVADO")</f>
        <v>#REF!</v>
      </c>
      <c r="C22" s="19" t="e">
        <f>GETPIVOTDATA("CRITICIDADE",$A$3,"CATEGORIA",A22)-B22</f>
        <v>#REF!</v>
      </c>
      <c r="D22"/>
      <c r="E22"/>
    </row>
    <row r="23" spans="1:5" x14ac:dyDescent="0.25">
      <c r="B23"/>
      <c r="C23"/>
      <c r="D23"/>
      <c r="E23"/>
    </row>
    <row r="24" spans="1:5" x14ac:dyDescent="0.25">
      <c r="B24"/>
      <c r="C24"/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3:I89"/>
  <sheetViews>
    <sheetView showGridLines="0" topLeftCell="A11" workbookViewId="0">
      <selection activeCell="E28" sqref="E28"/>
    </sheetView>
  </sheetViews>
  <sheetFormatPr defaultColWidth="8.5703125" defaultRowHeight="15" x14ac:dyDescent="0.25"/>
  <cols>
    <col min="1" max="1" width="31.7109375" customWidth="1"/>
    <col min="2" max="5" width="13" style="15" customWidth="1"/>
    <col min="6" max="6" width="9.140625" customWidth="1"/>
  </cols>
  <sheetData>
    <row r="3" spans="1:9" x14ac:dyDescent="0.25">
      <c r="B3" s="13" t="s">
        <v>20</v>
      </c>
      <c r="C3"/>
      <c r="D3"/>
      <c r="E3"/>
    </row>
    <row r="4" spans="1:9" x14ac:dyDescent="0.25">
      <c r="B4" t="s">
        <v>12</v>
      </c>
      <c r="C4" t="s">
        <v>14</v>
      </c>
      <c r="D4" t="s">
        <v>15</v>
      </c>
      <c r="E4" t="s">
        <v>13</v>
      </c>
      <c r="F4" t="s">
        <v>17</v>
      </c>
      <c r="G4" t="s">
        <v>16</v>
      </c>
      <c r="H4" t="s">
        <v>19</v>
      </c>
      <c r="I4" t="s">
        <v>21</v>
      </c>
    </row>
    <row r="5" spans="1:9" x14ac:dyDescent="0.25">
      <c r="A5" t="s">
        <v>29</v>
      </c>
      <c r="B5" s="16">
        <v>615</v>
      </c>
      <c r="C5" s="16">
        <v>40</v>
      </c>
      <c r="D5" s="16">
        <v>35</v>
      </c>
      <c r="E5" s="16">
        <v>73</v>
      </c>
      <c r="F5" s="16">
        <v>28</v>
      </c>
      <c r="G5" s="16">
        <v>5</v>
      </c>
      <c r="H5" s="16"/>
      <c r="I5" s="16">
        <v>796</v>
      </c>
    </row>
    <row r="6" spans="1:9" x14ac:dyDescent="0.25">
      <c r="B6"/>
      <c r="C6"/>
      <c r="D6"/>
      <c r="E6"/>
    </row>
    <row r="7" spans="1:9" x14ac:dyDescent="0.25">
      <c r="B7"/>
      <c r="C7"/>
      <c r="D7"/>
      <c r="E7"/>
    </row>
    <row r="8" spans="1:9" x14ac:dyDescent="0.25">
      <c r="B8"/>
      <c r="C8"/>
      <c r="D8"/>
      <c r="E8"/>
    </row>
    <row r="9" spans="1:9" x14ac:dyDescent="0.25">
      <c r="B9"/>
      <c r="C9"/>
      <c r="D9"/>
      <c r="E9"/>
    </row>
    <row r="10" spans="1:9" x14ac:dyDescent="0.25">
      <c r="B10"/>
      <c r="C10"/>
      <c r="D10"/>
      <c r="E10"/>
    </row>
    <row r="11" spans="1:9" x14ac:dyDescent="0.25">
      <c r="B11"/>
      <c r="C11"/>
      <c r="D11"/>
      <c r="E11"/>
    </row>
    <row r="12" spans="1:9" x14ac:dyDescent="0.25">
      <c r="B12"/>
      <c r="C12"/>
      <c r="D12"/>
      <c r="E12"/>
    </row>
    <row r="13" spans="1:9" x14ac:dyDescent="0.25">
      <c r="B13"/>
      <c r="C13"/>
      <c r="D13"/>
      <c r="E13"/>
    </row>
    <row r="14" spans="1:9" x14ac:dyDescent="0.25">
      <c r="B14"/>
      <c r="C14"/>
      <c r="D14"/>
      <c r="E14"/>
    </row>
    <row r="15" spans="1:9" x14ac:dyDescent="0.25">
      <c r="B15"/>
      <c r="C15"/>
      <c r="D15"/>
      <c r="E15"/>
    </row>
    <row r="16" spans="1:9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18" t="s">
        <v>9</v>
      </c>
      <c r="B19" s="20" t="s">
        <v>12</v>
      </c>
      <c r="C19" s="20" t="s">
        <v>32</v>
      </c>
      <c r="D19"/>
      <c r="E19"/>
    </row>
    <row r="20" spans="1:5" x14ac:dyDescent="0.25">
      <c r="A20" s="17" t="e">
        <f>IF(#REF!="","",#REF!)</f>
        <v>#REF!</v>
      </c>
      <c r="B20" s="19" t="str">
        <f>IFERROR(GETPIVOTDATA("CRITICIDADE",$A$3,"ETAPA DO TESTE",A20,"STATUS DOS TESTES","APROVADO"),"")</f>
        <v/>
      </c>
      <c r="C20" s="19" t="str">
        <f>IFERROR(GETPIVOTDATA("CRITICIDADE",$A$3,"ETAPA DO TESTE",A20),"")</f>
        <v/>
      </c>
      <c r="D20"/>
      <c r="E20"/>
    </row>
    <row r="21" spans="1:5" x14ac:dyDescent="0.25">
      <c r="A21" s="17" t="e">
        <f>IF(#REF!="","",#REF!)</f>
        <v>#REF!</v>
      </c>
      <c r="B21" s="23" t="str">
        <f t="shared" ref="B21:B24" si="0">IFERROR(GETPIVOTDATA("CRITICIDADE",$A$3,"ETAPA DO TESTE",A21,"STATUS DOS TESTES","APROVADO"),"")</f>
        <v/>
      </c>
      <c r="C21" s="23" t="str">
        <f t="shared" ref="C21:C24" si="1">IFERROR(GETPIVOTDATA("CRITICIDADE",$A$3,"ETAPA DO TESTE",A21),"")</f>
        <v/>
      </c>
      <c r="D21"/>
      <c r="E21"/>
    </row>
    <row r="22" spans="1:5" x14ac:dyDescent="0.25">
      <c r="A22" s="17" t="e">
        <f>IF(#REF!="","",#REF!)</f>
        <v>#REF!</v>
      </c>
      <c r="B22" s="23" t="str">
        <f t="shared" si="0"/>
        <v/>
      </c>
      <c r="C22" s="23" t="str">
        <f t="shared" si="1"/>
        <v/>
      </c>
      <c r="D22"/>
      <c r="E22"/>
    </row>
    <row r="23" spans="1:5" x14ac:dyDescent="0.25">
      <c r="A23" s="17" t="e">
        <f>IF(#REF!="","",#REF!)</f>
        <v>#REF!</v>
      </c>
      <c r="B23" s="23" t="str">
        <f t="shared" si="0"/>
        <v/>
      </c>
      <c r="C23" s="23" t="str">
        <f t="shared" si="1"/>
        <v/>
      </c>
      <c r="D23"/>
      <c r="E23"/>
    </row>
    <row r="24" spans="1:5" x14ac:dyDescent="0.25">
      <c r="A24" s="17" t="e">
        <f>IF(#REF!="","",#REF!)</f>
        <v>#REF!</v>
      </c>
      <c r="B24" s="23" t="str">
        <f t="shared" si="0"/>
        <v/>
      </c>
      <c r="C24" s="23" t="str">
        <f t="shared" si="1"/>
        <v/>
      </c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1:I81"/>
  <sheetViews>
    <sheetView showGridLines="0" topLeftCell="A13" workbookViewId="0">
      <selection activeCell="C20" sqref="C20:C30"/>
    </sheetView>
  </sheetViews>
  <sheetFormatPr defaultColWidth="8.5703125" defaultRowHeight="15" x14ac:dyDescent="0.25"/>
  <cols>
    <col min="1" max="1" width="31.7109375" customWidth="1"/>
    <col min="2" max="5" width="13" style="15" customWidth="1"/>
    <col min="6" max="6" width="9.140625" customWidth="1"/>
  </cols>
  <sheetData>
    <row r="1" spans="1:9" x14ac:dyDescent="0.25">
      <c r="B1"/>
    </row>
    <row r="3" spans="1:9" x14ac:dyDescent="0.25">
      <c r="A3" s="13" t="s">
        <v>29</v>
      </c>
      <c r="B3" s="13" t="s">
        <v>20</v>
      </c>
      <c r="C3"/>
      <c r="D3"/>
      <c r="E3"/>
    </row>
    <row r="4" spans="1:9" x14ac:dyDescent="0.25">
      <c r="A4" s="13" t="s">
        <v>18</v>
      </c>
      <c r="B4" t="s">
        <v>12</v>
      </c>
      <c r="C4" t="s">
        <v>14</v>
      </c>
      <c r="D4" t="s">
        <v>15</v>
      </c>
      <c r="E4" t="s">
        <v>13</v>
      </c>
      <c r="F4" t="s">
        <v>17</v>
      </c>
      <c r="G4" t="s">
        <v>16</v>
      </c>
      <c r="H4" t="s">
        <v>19</v>
      </c>
      <c r="I4" t="s">
        <v>21</v>
      </c>
    </row>
    <row r="5" spans="1:9" x14ac:dyDescent="0.25">
      <c r="A5" s="14" t="s">
        <v>2</v>
      </c>
      <c r="B5" s="16">
        <v>224</v>
      </c>
      <c r="C5" s="16">
        <v>38</v>
      </c>
      <c r="D5" s="16"/>
      <c r="E5" s="16"/>
      <c r="F5" s="16"/>
      <c r="G5" s="16">
        <v>3</v>
      </c>
      <c r="H5" s="16"/>
      <c r="I5" s="16">
        <v>265</v>
      </c>
    </row>
    <row r="6" spans="1:9" x14ac:dyDescent="0.25">
      <c r="A6" s="14" t="s">
        <v>3</v>
      </c>
      <c r="B6" s="16">
        <v>195</v>
      </c>
      <c r="C6" s="16">
        <v>1</v>
      </c>
      <c r="D6" s="16"/>
      <c r="E6" s="16">
        <v>68</v>
      </c>
      <c r="F6" s="16"/>
      <c r="G6" s="16">
        <v>1</v>
      </c>
      <c r="H6" s="16"/>
      <c r="I6" s="16">
        <v>265</v>
      </c>
    </row>
    <row r="7" spans="1:9" x14ac:dyDescent="0.25">
      <c r="A7" s="14" t="s">
        <v>1</v>
      </c>
      <c r="B7" s="16">
        <v>196</v>
      </c>
      <c r="C7" s="16">
        <v>1</v>
      </c>
      <c r="D7" s="16">
        <v>35</v>
      </c>
      <c r="E7" s="16">
        <v>5</v>
      </c>
      <c r="F7" s="16">
        <v>28</v>
      </c>
      <c r="G7" s="16">
        <v>1</v>
      </c>
      <c r="H7" s="16"/>
      <c r="I7" s="16">
        <v>266</v>
      </c>
    </row>
    <row r="8" spans="1:9" x14ac:dyDescent="0.25">
      <c r="A8" s="14" t="s">
        <v>19</v>
      </c>
      <c r="B8" s="16"/>
      <c r="C8" s="16"/>
      <c r="D8" s="16"/>
      <c r="E8" s="16"/>
      <c r="F8" s="16"/>
      <c r="G8" s="16"/>
      <c r="H8" s="16"/>
      <c r="I8" s="16"/>
    </row>
    <row r="9" spans="1:9" x14ac:dyDescent="0.25">
      <c r="A9" s="14" t="s">
        <v>21</v>
      </c>
      <c r="B9" s="16">
        <v>615</v>
      </c>
      <c r="C9" s="16">
        <v>40</v>
      </c>
      <c r="D9" s="16">
        <v>35</v>
      </c>
      <c r="E9" s="16">
        <v>73</v>
      </c>
      <c r="F9" s="16">
        <v>28</v>
      </c>
      <c r="G9" s="16">
        <v>5</v>
      </c>
      <c r="H9" s="16"/>
      <c r="I9" s="16">
        <v>796</v>
      </c>
    </row>
    <row r="10" spans="1:9" x14ac:dyDescent="0.25">
      <c r="B10"/>
      <c r="C10"/>
      <c r="D10"/>
      <c r="E10"/>
    </row>
    <row r="11" spans="1:9" x14ac:dyDescent="0.25">
      <c r="B11"/>
      <c r="C11"/>
      <c r="D11"/>
      <c r="E11"/>
    </row>
    <row r="12" spans="1:9" x14ac:dyDescent="0.25">
      <c r="B12"/>
      <c r="C12"/>
      <c r="D12"/>
      <c r="E12"/>
    </row>
    <row r="13" spans="1:9" x14ac:dyDescent="0.25">
      <c r="B13"/>
      <c r="C13"/>
      <c r="D13"/>
      <c r="E13"/>
    </row>
    <row r="14" spans="1:9" x14ac:dyDescent="0.25">
      <c r="B14"/>
      <c r="C14"/>
      <c r="D14"/>
      <c r="E14"/>
    </row>
    <row r="15" spans="1:9" x14ac:dyDescent="0.25">
      <c r="B15"/>
      <c r="C15"/>
      <c r="D15"/>
      <c r="E15"/>
    </row>
    <row r="16" spans="1:9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18" t="s">
        <v>9</v>
      </c>
      <c r="B19" s="20" t="s">
        <v>12</v>
      </c>
      <c r="C19" s="20" t="s">
        <v>32</v>
      </c>
      <c r="D19"/>
      <c r="E19"/>
    </row>
    <row r="20" spans="1:5" x14ac:dyDescent="0.25">
      <c r="A20" s="21" t="e">
        <f>IF(#REF!="","",#REF!)</f>
        <v>#REF!</v>
      </c>
      <c r="B20" s="19" t="str">
        <f>IFERROR(GETPIVOTDATA("CRITICIDADE",$A$3,"FUNCIONALIDADE",A20,"STATUS DOS TESTES","APROVADO"),"")</f>
        <v/>
      </c>
      <c r="C20" s="19" t="str">
        <f>IFERROR(GETPIVOTDATA("CRITICIDADE",$A$3,"FUNCIONALIDADE",A20),"")</f>
        <v/>
      </c>
      <c r="D20"/>
      <c r="E20"/>
    </row>
    <row r="21" spans="1:5" x14ac:dyDescent="0.25">
      <c r="A21" s="21" t="e">
        <f>IF(#REF!="","",#REF!)</f>
        <v>#REF!</v>
      </c>
      <c r="B21" s="19" t="str">
        <f t="shared" ref="B21:B30" si="0">IFERROR(GETPIVOTDATA("CRITICIDADE",$A$3,"FUNCIONALIDADE",A21,"STATUS DOS TESTES","APROVADO"),"")</f>
        <v/>
      </c>
      <c r="C21" s="23" t="str">
        <f t="shared" ref="C21:C30" si="1">IFERROR(GETPIVOTDATA("CRITICIDADE",$A$3,"FUNCIONALIDADE",A21),"")</f>
        <v/>
      </c>
      <c r="D21"/>
      <c r="E21"/>
    </row>
    <row r="22" spans="1:5" x14ac:dyDescent="0.25">
      <c r="A22" s="21" t="e">
        <f>IF(#REF!="","",#REF!)</f>
        <v>#REF!</v>
      </c>
      <c r="B22" s="19" t="str">
        <f t="shared" si="0"/>
        <v/>
      </c>
      <c r="C22" s="23" t="str">
        <f t="shared" si="1"/>
        <v/>
      </c>
      <c r="D22"/>
      <c r="E22"/>
    </row>
    <row r="23" spans="1:5" x14ac:dyDescent="0.25">
      <c r="A23" s="21" t="e">
        <f>IF(#REF!="","",#REF!)</f>
        <v>#REF!</v>
      </c>
      <c r="B23" s="19" t="str">
        <f t="shared" si="0"/>
        <v/>
      </c>
      <c r="C23" s="23" t="str">
        <f t="shared" si="1"/>
        <v/>
      </c>
      <c r="D23"/>
      <c r="E23"/>
    </row>
    <row r="24" spans="1:5" x14ac:dyDescent="0.25">
      <c r="A24" s="21" t="e">
        <f>IF(#REF!="","",#REF!)</f>
        <v>#REF!</v>
      </c>
      <c r="B24" s="19" t="str">
        <f t="shared" si="0"/>
        <v/>
      </c>
      <c r="C24" s="23" t="str">
        <f t="shared" si="1"/>
        <v/>
      </c>
      <c r="D24"/>
      <c r="E24"/>
    </row>
    <row r="25" spans="1:5" x14ac:dyDescent="0.25">
      <c r="A25" s="21" t="e">
        <f>IF(#REF!="","",#REF!)</f>
        <v>#REF!</v>
      </c>
      <c r="B25" s="19" t="str">
        <f t="shared" si="0"/>
        <v/>
      </c>
      <c r="C25" s="23" t="str">
        <f t="shared" si="1"/>
        <v/>
      </c>
      <c r="D25"/>
      <c r="E25"/>
    </row>
    <row r="26" spans="1:5" x14ac:dyDescent="0.25">
      <c r="A26" s="21" t="e">
        <f>IF(#REF!="","",#REF!)</f>
        <v>#REF!</v>
      </c>
      <c r="B26" s="19" t="str">
        <f t="shared" si="0"/>
        <v/>
      </c>
      <c r="C26" s="23" t="str">
        <f t="shared" si="1"/>
        <v/>
      </c>
      <c r="D26"/>
      <c r="E26"/>
    </row>
    <row r="27" spans="1:5" x14ac:dyDescent="0.25">
      <c r="A27" s="21" t="e">
        <f>IF(#REF!="","",#REF!)</f>
        <v>#REF!</v>
      </c>
      <c r="B27" s="19" t="str">
        <f t="shared" si="0"/>
        <v/>
      </c>
      <c r="C27" s="23" t="str">
        <f t="shared" si="1"/>
        <v/>
      </c>
      <c r="D27"/>
      <c r="E27"/>
    </row>
    <row r="28" spans="1:5" x14ac:dyDescent="0.25">
      <c r="A28" s="21" t="e">
        <f>IF(#REF!="","",#REF!)</f>
        <v>#REF!</v>
      </c>
      <c r="B28" s="19" t="str">
        <f t="shared" si="0"/>
        <v/>
      </c>
      <c r="C28" s="23" t="str">
        <f t="shared" si="1"/>
        <v/>
      </c>
      <c r="D28"/>
      <c r="E28"/>
    </row>
    <row r="29" spans="1:5" x14ac:dyDescent="0.25">
      <c r="A29" s="21" t="e">
        <f>IF(#REF!="","",#REF!)</f>
        <v>#REF!</v>
      </c>
      <c r="B29" s="19" t="str">
        <f t="shared" si="0"/>
        <v/>
      </c>
      <c r="C29" s="23" t="str">
        <f t="shared" si="1"/>
        <v/>
      </c>
      <c r="D29"/>
      <c r="E29"/>
    </row>
    <row r="30" spans="1:5" x14ac:dyDescent="0.25">
      <c r="A30" s="21" t="e">
        <f>IF(#REF!="","",#REF!)</f>
        <v>#REF!</v>
      </c>
      <c r="B30" s="22" t="str">
        <f t="shared" si="0"/>
        <v/>
      </c>
      <c r="C30" s="23" t="str">
        <f t="shared" si="1"/>
        <v/>
      </c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3:H95"/>
  <sheetViews>
    <sheetView showGridLines="0" topLeftCell="A14" workbookViewId="0">
      <selection activeCell="G17" sqref="G17"/>
    </sheetView>
  </sheetViews>
  <sheetFormatPr defaultColWidth="8.5703125" defaultRowHeight="15" x14ac:dyDescent="0.25"/>
  <cols>
    <col min="1" max="1" width="31.7109375" customWidth="1"/>
    <col min="2" max="5" width="13" style="15" customWidth="1"/>
    <col min="6" max="6" width="9.140625" customWidth="1"/>
  </cols>
  <sheetData>
    <row r="3" spans="1:8" x14ac:dyDescent="0.25">
      <c r="A3" s="13" t="s">
        <v>29</v>
      </c>
      <c r="B3" s="13" t="s">
        <v>20</v>
      </c>
      <c r="C3"/>
      <c r="D3"/>
      <c r="E3"/>
    </row>
    <row r="4" spans="1:8" x14ac:dyDescent="0.25">
      <c r="A4" s="13" t="s">
        <v>18</v>
      </c>
      <c r="B4" t="s">
        <v>12</v>
      </c>
      <c r="C4" t="s">
        <v>14</v>
      </c>
      <c r="D4" t="s">
        <v>15</v>
      </c>
      <c r="E4" t="s">
        <v>13</v>
      </c>
      <c r="F4" t="s">
        <v>17</v>
      </c>
      <c r="G4" t="s">
        <v>16</v>
      </c>
      <c r="H4" t="s">
        <v>21</v>
      </c>
    </row>
    <row r="5" spans="1:8" x14ac:dyDescent="0.25">
      <c r="A5" s="14" t="s">
        <v>7</v>
      </c>
      <c r="B5" s="16">
        <v>126</v>
      </c>
      <c r="C5" s="16">
        <v>2</v>
      </c>
      <c r="D5" s="16">
        <v>35</v>
      </c>
      <c r="E5" s="16">
        <v>33</v>
      </c>
      <c r="F5" s="16"/>
      <c r="G5" s="16">
        <v>3</v>
      </c>
      <c r="H5" s="16">
        <v>199</v>
      </c>
    </row>
    <row r="6" spans="1:8" x14ac:dyDescent="0.25">
      <c r="A6" s="14" t="s">
        <v>6</v>
      </c>
      <c r="B6" s="16">
        <v>91</v>
      </c>
      <c r="C6" s="16">
        <v>38</v>
      </c>
      <c r="D6" s="16"/>
      <c r="E6" s="16">
        <v>40</v>
      </c>
      <c r="F6" s="16">
        <v>28</v>
      </c>
      <c r="G6" s="16">
        <v>2</v>
      </c>
      <c r="H6" s="16">
        <v>199</v>
      </c>
    </row>
    <row r="7" spans="1:8" x14ac:dyDescent="0.25">
      <c r="A7" s="14" t="s">
        <v>5</v>
      </c>
      <c r="B7" s="16">
        <v>199</v>
      </c>
      <c r="C7" s="16"/>
      <c r="D7" s="16"/>
      <c r="E7" s="16"/>
      <c r="F7" s="16"/>
      <c r="G7" s="16"/>
      <c r="H7" s="16">
        <v>199</v>
      </c>
    </row>
    <row r="8" spans="1:8" x14ac:dyDescent="0.25">
      <c r="A8" s="14" t="s">
        <v>4</v>
      </c>
      <c r="B8" s="16">
        <v>199</v>
      </c>
      <c r="C8" s="16"/>
      <c r="D8" s="16"/>
      <c r="E8" s="16"/>
      <c r="F8" s="16"/>
      <c r="G8" s="16"/>
      <c r="H8" s="16">
        <v>199</v>
      </c>
    </row>
    <row r="9" spans="1:8" x14ac:dyDescent="0.25">
      <c r="B9"/>
      <c r="C9"/>
      <c r="D9"/>
      <c r="E9"/>
    </row>
    <row r="10" spans="1:8" x14ac:dyDescent="0.25">
      <c r="B10"/>
      <c r="C10"/>
      <c r="D10"/>
      <c r="E10"/>
    </row>
    <row r="11" spans="1:8" x14ac:dyDescent="0.25">
      <c r="B11"/>
      <c r="C11"/>
      <c r="D11"/>
      <c r="E11"/>
    </row>
    <row r="12" spans="1:8" x14ac:dyDescent="0.25">
      <c r="B12"/>
      <c r="C12"/>
      <c r="D12"/>
      <c r="E12"/>
    </row>
    <row r="13" spans="1:8" x14ac:dyDescent="0.25">
      <c r="B13"/>
      <c r="C13"/>
      <c r="D13"/>
      <c r="E13"/>
    </row>
    <row r="14" spans="1:8" x14ac:dyDescent="0.25">
      <c r="B14"/>
      <c r="C14"/>
      <c r="D14"/>
      <c r="E14"/>
    </row>
    <row r="15" spans="1:8" x14ac:dyDescent="0.25">
      <c r="B15"/>
      <c r="C15"/>
      <c r="D15"/>
      <c r="E15"/>
    </row>
    <row r="16" spans="1:8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18" t="s">
        <v>9</v>
      </c>
      <c r="B19" s="20" t="s">
        <v>12</v>
      </c>
      <c r="C19" s="20" t="s">
        <v>30</v>
      </c>
      <c r="D19" s="20" t="s">
        <v>35</v>
      </c>
      <c r="E19"/>
    </row>
    <row r="20" spans="1:5" x14ac:dyDescent="0.25">
      <c r="A20" s="21" t="str">
        <f t="shared" ref="A20:A23" si="0">IF(A5="","",A5)</f>
        <v>ÁREA DE NEGÓCIOS</v>
      </c>
      <c r="B20" s="23">
        <f>IFERROR(GETPIVOTDATA("CRITICIDADE",$A$3,"RESPONSÁVEL",A20,"STATUS DOS TESTES","APROVADO"),"")</f>
        <v>126</v>
      </c>
      <c r="C20" s="23">
        <f>IFERROR(GETPIVOTDATA("CRITICIDADE",$A$3,"RESPONSÁVEL",A20),"")</f>
        <v>199</v>
      </c>
      <c r="D20" s="24">
        <f>IFERROR(B20/C20,"")</f>
        <v>0.63316582914572861</v>
      </c>
      <c r="E20"/>
    </row>
    <row r="21" spans="1:5" x14ac:dyDescent="0.25">
      <c r="A21" s="21" t="str">
        <f t="shared" si="0"/>
        <v>CLIENTE</v>
      </c>
      <c r="B21" s="23">
        <f t="shared" ref="B21:B29" si="1">IFERROR(GETPIVOTDATA("CRITICIDADE",$A$3,"RESPONSÁVEL",A21,"STATUS DOS TESTES","APROVADO"),"")</f>
        <v>91</v>
      </c>
      <c r="C21" s="23">
        <f t="shared" ref="C21:C29" si="2">IFERROR(GETPIVOTDATA("CRITICIDADE",$A$3,"RESPONSÁVEL",A21),"")</f>
        <v>199</v>
      </c>
      <c r="D21" s="24">
        <f t="shared" ref="D21:D29" si="3">IFERROR(B21/C21,"")</f>
        <v>0.457286432160804</v>
      </c>
      <c r="E21"/>
    </row>
    <row r="22" spans="1:5" x14ac:dyDescent="0.25">
      <c r="A22" s="21" t="str">
        <f t="shared" si="0"/>
        <v>INFRAESTRUTURA</v>
      </c>
      <c r="B22" s="23">
        <f t="shared" si="1"/>
        <v>199</v>
      </c>
      <c r="C22" s="23">
        <f t="shared" si="2"/>
        <v>199</v>
      </c>
      <c r="D22" s="24">
        <f t="shared" si="3"/>
        <v>1</v>
      </c>
      <c r="E22"/>
    </row>
    <row r="23" spans="1:5" x14ac:dyDescent="0.25">
      <c r="A23" s="21" t="str">
        <f t="shared" si="0"/>
        <v>TECNOLOGIA</v>
      </c>
      <c r="B23" s="23">
        <f t="shared" si="1"/>
        <v>199</v>
      </c>
      <c r="C23" s="23">
        <f t="shared" si="2"/>
        <v>199</v>
      </c>
      <c r="D23" s="24">
        <f t="shared" si="3"/>
        <v>1</v>
      </c>
      <c r="E23"/>
    </row>
    <row r="24" spans="1:5" x14ac:dyDescent="0.25">
      <c r="A24" s="21" t="str">
        <f>IF(A9="","",A9)</f>
        <v/>
      </c>
      <c r="B24" s="23" t="str">
        <f t="shared" si="1"/>
        <v/>
      </c>
      <c r="C24" s="23" t="str">
        <f t="shared" si="2"/>
        <v/>
      </c>
      <c r="D24" s="24" t="str">
        <f t="shared" si="3"/>
        <v/>
      </c>
      <c r="E24"/>
    </row>
    <row r="25" spans="1:5" x14ac:dyDescent="0.25">
      <c r="A25" s="21" t="str">
        <f t="shared" ref="A25:A29" si="4">IF(A10="","",A10)</f>
        <v/>
      </c>
      <c r="B25" s="23" t="str">
        <f t="shared" si="1"/>
        <v/>
      </c>
      <c r="C25" s="23" t="str">
        <f t="shared" si="2"/>
        <v/>
      </c>
      <c r="D25" s="24" t="str">
        <f t="shared" si="3"/>
        <v/>
      </c>
      <c r="E25"/>
    </row>
    <row r="26" spans="1:5" x14ac:dyDescent="0.25">
      <c r="A26" s="21" t="str">
        <f t="shared" si="4"/>
        <v/>
      </c>
      <c r="B26" s="23" t="str">
        <f t="shared" si="1"/>
        <v/>
      </c>
      <c r="C26" s="23" t="str">
        <f t="shared" si="2"/>
        <v/>
      </c>
      <c r="D26" s="24" t="str">
        <f t="shared" si="3"/>
        <v/>
      </c>
      <c r="E26"/>
    </row>
    <row r="27" spans="1:5" x14ac:dyDescent="0.25">
      <c r="A27" s="21" t="str">
        <f t="shared" si="4"/>
        <v/>
      </c>
      <c r="B27" s="23" t="str">
        <f t="shared" si="1"/>
        <v/>
      </c>
      <c r="C27" s="23" t="str">
        <f t="shared" si="2"/>
        <v/>
      </c>
      <c r="D27" s="24" t="str">
        <f t="shared" si="3"/>
        <v/>
      </c>
      <c r="E27"/>
    </row>
    <row r="28" spans="1:5" x14ac:dyDescent="0.25">
      <c r="A28" s="21" t="str">
        <f t="shared" si="4"/>
        <v/>
      </c>
      <c r="B28" s="23" t="str">
        <f t="shared" si="1"/>
        <v/>
      </c>
      <c r="C28" s="23" t="str">
        <f t="shared" si="2"/>
        <v/>
      </c>
      <c r="D28" s="24" t="str">
        <f t="shared" si="3"/>
        <v/>
      </c>
      <c r="E28"/>
    </row>
    <row r="29" spans="1:5" x14ac:dyDescent="0.25">
      <c r="A29" s="21" t="str">
        <f t="shared" si="4"/>
        <v/>
      </c>
      <c r="B29" s="23" t="str">
        <f t="shared" si="1"/>
        <v/>
      </c>
      <c r="C29" s="23" t="str">
        <f t="shared" si="2"/>
        <v/>
      </c>
      <c r="D29" s="24" t="str">
        <f t="shared" si="3"/>
        <v/>
      </c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Roteiro de Teste</vt:lpstr>
      <vt:lpstr>Dashboard</vt:lpstr>
      <vt:lpstr>D1</vt:lpstr>
      <vt:lpstr>D2</vt:lpstr>
      <vt:lpstr>D3</vt:lpstr>
      <vt:lpstr>D4</vt:lpstr>
      <vt:lpstr>D5</vt:lpstr>
      <vt:lpstr>D6</vt:lpstr>
      <vt:lpstr>'Roteiro de Teste'!Area_de_impressao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Alcides Luiz Neto</dc:creator>
  <cp:lastModifiedBy>User</cp:lastModifiedBy>
  <cp:lastPrinted>2013-04-30T18:08:38Z</cp:lastPrinted>
  <dcterms:created xsi:type="dcterms:W3CDTF">2013-04-30T01:08:41Z</dcterms:created>
  <dcterms:modified xsi:type="dcterms:W3CDTF">2020-02-08T17:36:57Z</dcterms:modified>
</cp:coreProperties>
</file>